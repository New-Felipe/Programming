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Felipe Maciel\"/>
    </mc:Choice>
  </mc:AlternateContent>
  <bookViews>
    <workbookView xWindow="0" yWindow="0" windowWidth="28800" windowHeight="12330" firstSheet="16" activeTab="16"/>
  </bookViews>
  <sheets>
    <sheet name="1-Novidades 2010" sheetId="1" state="hidden" r:id="rId1"/>
    <sheet name="Selecionando Células" sheetId="3" r:id="rId2"/>
    <sheet name="Deslocando-se" sheetId="4" r:id="rId3"/>
    <sheet name="Caixa de Nome" sheetId="5" r:id="rId4"/>
    <sheet name="Importância do ESC" sheetId="30" r:id="rId5"/>
    <sheet name="Introdução ao igual (=)" sheetId="6" r:id="rId6"/>
    <sheet name="Vinculo" sheetId="7" r:id="rId7"/>
    <sheet name="Vinculo Nomes" sheetId="8" r:id="rId8"/>
    <sheet name="Operações básicas" sheetId="9" r:id="rId9"/>
    <sheet name="Fórmula SOMA" sheetId="10" r:id="rId10"/>
    <sheet name="Bordas" sheetId="11" r:id="rId11"/>
    <sheet name="Altura e Largura" sheetId="12" r:id="rId12"/>
    <sheet name="Mesclar" sheetId="18" r:id="rId13"/>
    <sheet name="Cores" sheetId="13" r:id="rId14"/>
    <sheet name="Pincel" sheetId="28" r:id="rId15"/>
    <sheet name="Numeros" sheetId="14" r:id="rId16"/>
    <sheet name="Personalizada" sheetId="15" r:id="rId17"/>
    <sheet name="Texto" sheetId="16" r:id="rId18"/>
    <sheet name="Datas" sheetId="17" r:id="rId19"/>
    <sheet name="Copiar e Recortar" sheetId="19" r:id="rId20"/>
    <sheet name="Arrastar" sheetId="20" r:id="rId21"/>
    <sheet name="Listas Prontas e personalizadas" sheetId="21" r:id="rId22"/>
    <sheet name="Cifrão" sheetId="22" r:id="rId23"/>
    <sheet name="Colar especial" sheetId="23" r:id="rId24"/>
    <sheet name="Ir para + Selecionar especial" sheetId="45" r:id="rId25"/>
    <sheet name="Inserir, Excluir e Ocultar" sheetId="24" r:id="rId26"/>
    <sheet name="COPIAR PLANILHA" sheetId="34" r:id="rId27"/>
    <sheet name="COLAR TABELA NOTAS" sheetId="33" r:id="rId28"/>
    <sheet name="Grupos de planilhas (1)" sheetId="25" r:id="rId29"/>
    <sheet name="Grupos de planilhas (2)" sheetId="27" r:id="rId30"/>
  </sheets>
  <externalReferences>
    <externalReference r:id="rId31"/>
  </externalReferences>
  <definedNames>
    <definedName name="_xlnm._FilterDatabase" localSheetId="0" hidden="1">'1-Novidades 2010'!$H$2:$K$16</definedName>
    <definedName name="_xlcn.LinkedTable_TbCadastroProd1" hidden="1">TbCadastroProd</definedName>
    <definedName name="_xlcn.LinkedTable_TbCadastroVendas1" hidden="1">TbCadastroVendas</definedName>
    <definedName name="_xlcn.WorksheetConnection_Tabela21" hidden="1">Tabela2</definedName>
    <definedName name="pritrimestre">'Vinculo Nomes'!$B$10:$D$10</definedName>
    <definedName name="totalcelular">'Vinculo Nomes'!$B$6</definedName>
    <definedName name="totaldvd">'Vinculo Nomes'!$D$6</definedName>
    <definedName name="totalgeral">'Vinculo Nomes'!$C$12</definedName>
    <definedName name="TOTALMESES">'Caixa de Nome'!$B$3</definedName>
    <definedName name="totaltv">'Vinculo Nomes'!$C$6</definedName>
  </definedNames>
  <calcPr calcId="162913"/>
  <pivotCaches>
    <pivotCache cacheId="0" r:id="rId32"/>
  </pivotCaches>
  <extLst>
    <ext xmlns:x15="http://schemas.microsoft.com/office/spreadsheetml/2010/11/main" uri="{FCE2AD5D-F65C-4FA6-A056-5C36A1767C68}">
      <x15:dataModel>
        <x15:modelTables>
          <x15:modelTable id="Tabela2-2b911111-7aaf-4fbd-8850-8277eda6648f" name="Tabela2" connection="WorksheetConnection_Tabela2"/>
          <x15:modelTable id="TbCadastroVendas-68bd794f-bc46-43e7-b573-f71f62545372" name="TbCadastroVendas" connection="LinkedTable_TbCadastroVendas"/>
          <x15:modelTable id="TbCadastroProd-c62fc864-29d3-493c-812b-9641de733d36" name="TbCadastroProd" connection="LinkedTable_TbCadastroProd"/>
        </x15:modelTables>
        <x15:modelRelationships>
          <x15:modelRelationship fromTable="TbCadastroVendas" fromColumn="CódProd" toTable="TbCadastroProd" toColumn="CódPro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0" l="1"/>
  <c r="C12" i="8"/>
  <c r="D10" i="8"/>
  <c r="C10" i="8"/>
  <c r="B10" i="8"/>
  <c r="B36" i="10"/>
  <c r="C19" i="10"/>
  <c r="H10" i="10"/>
  <c r="E3" i="10"/>
  <c r="B14" i="9"/>
  <c r="B20" i="9"/>
  <c r="C14" i="7"/>
  <c r="C50" i="6"/>
  <c r="C42" i="6"/>
  <c r="B41" i="6"/>
  <c r="C32" i="6"/>
  <c r="C12" i="6"/>
  <c r="B8" i="5"/>
  <c r="F9" i="30"/>
  <c r="B3" i="5"/>
  <c r="J51" i="24" l="1"/>
  <c r="I51" i="24"/>
  <c r="H51" i="24"/>
  <c r="E51" i="24"/>
  <c r="D51" i="24"/>
  <c r="C51" i="24"/>
  <c r="C17" i="15" l="1"/>
  <c r="G25" i="34"/>
  <c r="F25" i="34"/>
  <c r="G24" i="34"/>
  <c r="F24" i="34"/>
  <c r="G23" i="34"/>
  <c r="F23" i="34"/>
  <c r="G22" i="34"/>
  <c r="F22" i="34"/>
  <c r="G21" i="34"/>
  <c r="F21" i="34"/>
  <c r="G20" i="34"/>
  <c r="F20" i="34"/>
  <c r="G19" i="34"/>
  <c r="F19" i="34"/>
  <c r="G18" i="34"/>
  <c r="F18" i="34"/>
  <c r="G17" i="34"/>
  <c r="F17" i="34"/>
  <c r="G16" i="34"/>
  <c r="F16" i="34"/>
  <c r="G15" i="34"/>
  <c r="F15" i="34"/>
  <c r="G14" i="34"/>
  <c r="F14" i="34"/>
  <c r="G13" i="34"/>
  <c r="F13" i="34"/>
  <c r="G12" i="34"/>
  <c r="F12" i="34"/>
  <c r="D26" i="24"/>
  <c r="C26" i="24"/>
  <c r="E26" i="24"/>
  <c r="C21" i="5"/>
  <c r="C15" i="24" l="1"/>
  <c r="D15" i="24"/>
  <c r="E15" i="24"/>
  <c r="C92" i="23"/>
  <c r="C88" i="23"/>
  <c r="K12" i="19"/>
  <c r="D12" i="19"/>
  <c r="D6" i="8" l="1"/>
  <c r="C6" i="8"/>
  <c r="B6" i="8"/>
  <c r="E70" i="23"/>
  <c r="D70" i="23"/>
  <c r="C70" i="23"/>
  <c r="E37" i="24" l="1"/>
  <c r="D37" i="24"/>
  <c r="C37" i="24"/>
  <c r="D15" i="23"/>
  <c r="E15" i="23"/>
  <c r="C15" i="23"/>
  <c r="C3" i="22"/>
  <c r="C4" i="22"/>
  <c r="C5" i="22"/>
  <c r="C2" i="22"/>
  <c r="C29" i="19"/>
  <c r="C22" i="6"/>
  <c r="C8" i="22" l="1"/>
</calcChain>
</file>

<file path=xl/connections.xml><?xml version="1.0" encoding="utf-8"?>
<connections xmlns="http://schemas.openxmlformats.org/spreadsheetml/2006/main">
  <connection id="1" name="LinkedTable_TbCadastroProd" type="102" refreshedVersion="5" minRefreshableVersion="5">
    <extLst>
      <ext xmlns:x15="http://schemas.microsoft.com/office/spreadsheetml/2010/11/main" uri="{DE250136-89BD-433C-8126-D09CA5730AF9}">
        <x15:connection id="TbCadastroProd-c62fc864-29d3-493c-812b-9641de733d36">
          <x15:rangePr sourceName="_xlcn.LinkedTable_TbCadastroProd1"/>
        </x15:connection>
      </ext>
    </extLst>
  </connection>
  <connection id="2" name="LinkedTable_TbCadastroVendas" type="102" refreshedVersion="5" minRefreshableVersion="5">
    <extLst>
      <ext xmlns:x15="http://schemas.microsoft.com/office/spreadsheetml/2010/11/main" uri="{DE250136-89BD-433C-8126-D09CA5730AF9}">
        <x15:connection id="TbCadastroVendas-68bd794f-bc46-43e7-b573-f71f62545372">
          <x15:rangePr sourceName="_xlcn.LinkedTable_TbCadastroVendas1"/>
        </x15:connection>
      </ext>
    </extLst>
  </connection>
  <connection id="3" keepAlive="1" name="ThisWorkbookDataModel" description="Modelo de Dados" type="5" refreshedVersion="5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name="WorksheetConnection_Tabela2" type="102" refreshedVersion="5" minRefreshableVersion="5">
    <extLst>
      <ext xmlns:x15="http://schemas.microsoft.com/office/spreadsheetml/2010/11/main" uri="{DE250136-89BD-433C-8126-D09CA5730AF9}">
        <x15:connection id="Tabela2-2b911111-7aaf-4fbd-8850-8277eda6648f" autoDelete="1" usedByAddin="1">
          <x15:rangePr sourceName="_xlcn.WorksheetConnection_Tabela21"/>
        </x15:connection>
      </ext>
    </extLst>
  </connection>
</connections>
</file>

<file path=xl/sharedStrings.xml><?xml version="1.0" encoding="utf-8"?>
<sst xmlns="http://schemas.openxmlformats.org/spreadsheetml/2006/main" count="335" uniqueCount="175">
  <si>
    <t>Produto</t>
  </si>
  <si>
    <t>Qtde</t>
  </si>
  <si>
    <t>Valor Unitário</t>
  </si>
  <si>
    <t>A</t>
  </si>
  <si>
    <t>C</t>
  </si>
  <si>
    <t>B</t>
  </si>
  <si>
    <t>D</t>
  </si>
  <si>
    <t>Rótulos de Linha</t>
  </si>
  <si>
    <t>Total Geral</t>
  </si>
  <si>
    <t>Soma de Qtde</t>
  </si>
  <si>
    <t>Região</t>
  </si>
  <si>
    <t>SUL</t>
  </si>
  <si>
    <t>LESTE</t>
  </si>
  <si>
    <t>OESTE</t>
  </si>
  <si>
    <t>NORTE</t>
  </si>
  <si>
    <t>Total</t>
  </si>
  <si>
    <t>Maria</t>
  </si>
  <si>
    <t>João</t>
  </si>
  <si>
    <t>Nomes</t>
  </si>
  <si>
    <t>Abacaxi</t>
  </si>
  <si>
    <t>Melancia</t>
  </si>
  <si>
    <t>Mamão</t>
  </si>
  <si>
    <t xml:space="preserve">Uva </t>
  </si>
  <si>
    <t>Morango</t>
  </si>
  <si>
    <t>Pirulito</t>
  </si>
  <si>
    <t>Chocolate</t>
  </si>
  <si>
    <t>Doce de leite</t>
  </si>
  <si>
    <t>Chiclete</t>
  </si>
  <si>
    <t>Jujuba</t>
  </si>
  <si>
    <t>Janeiro</t>
  </si>
  <si>
    <t>Fevereiro</t>
  </si>
  <si>
    <t>Celular</t>
  </si>
  <si>
    <t>TV</t>
  </si>
  <si>
    <t>DVD</t>
  </si>
  <si>
    <t>Jan</t>
  </si>
  <si>
    <t>Fev</t>
  </si>
  <si>
    <t>Mar</t>
  </si>
  <si>
    <t>Lápis</t>
  </si>
  <si>
    <t>Borracha</t>
  </si>
  <si>
    <t>Apontador</t>
  </si>
  <si>
    <t>Tesoura</t>
  </si>
  <si>
    <t>Cadernos</t>
  </si>
  <si>
    <t>Paralelepipedo</t>
  </si>
  <si>
    <t>No meio do caminho tinha uma pedra</t>
  </si>
  <si>
    <t>Tabela</t>
  </si>
  <si>
    <t>Hoje</t>
  </si>
  <si>
    <t>Data do seu nascimento</t>
  </si>
  <si>
    <t>Data da Copa</t>
  </si>
  <si>
    <t>Data da chegada</t>
  </si>
  <si>
    <t>Tabela de Vendas</t>
  </si>
  <si>
    <t>Quantidade</t>
  </si>
  <si>
    <t>Valor</t>
  </si>
  <si>
    <t>Banana</t>
  </si>
  <si>
    <t>Laranja</t>
  </si>
  <si>
    <t>Tomate</t>
  </si>
  <si>
    <t>Batata</t>
  </si>
  <si>
    <t>Produto A</t>
  </si>
  <si>
    <t>Produto B</t>
  </si>
  <si>
    <t>Produto C</t>
  </si>
  <si>
    <t>Produto D</t>
  </si>
  <si>
    <t>Segunda-feira</t>
  </si>
  <si>
    <t>Seg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</si>
  <si>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</si>
  <si>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</si>
  <si>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</si>
  <si>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</si>
  <si>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</si>
  <si>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</si>
  <si>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</si>
  <si>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</si>
  <si>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</si>
  <si>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</si>
  <si>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Valor total</t>
  </si>
  <si>
    <t>Vendas Totais</t>
  </si>
  <si>
    <t>Aula de Excel</t>
  </si>
  <si>
    <t>Formato Moeda</t>
  </si>
  <si>
    <t>Formato Contábil</t>
  </si>
  <si>
    <t>Data de hoje (Ctrl + ;)</t>
  </si>
  <si>
    <r>
      <t xml:space="preserve">DATA DE HOJE </t>
    </r>
    <r>
      <rPr>
        <i/>
        <sz val="11"/>
        <color theme="1"/>
        <rFont val="Calibri"/>
        <family val="2"/>
        <scheme val="minor"/>
      </rPr>
      <t>(CTRL + ;)</t>
    </r>
  </si>
  <si>
    <r>
      <t xml:space="preserve">HORÁRIO DE AGORA </t>
    </r>
    <r>
      <rPr>
        <i/>
        <sz val="11"/>
        <color theme="1"/>
        <rFont val="Calibri"/>
        <family val="2"/>
        <scheme val="minor"/>
      </rPr>
      <t>(CTRL + SHIFT + ;)</t>
    </r>
  </si>
  <si>
    <t>Tomates</t>
  </si>
  <si>
    <t>Batatas</t>
  </si>
  <si>
    <t>Colar</t>
  </si>
  <si>
    <t>Copiar</t>
  </si>
  <si>
    <t>a</t>
  </si>
  <si>
    <t>Transpor Tabela Inteira:</t>
  </si>
  <si>
    <t>1º)</t>
  </si>
  <si>
    <t>2º)</t>
  </si>
  <si>
    <r>
      <t xml:space="preserve">SOMA DAS </t>
    </r>
    <r>
      <rPr>
        <b/>
        <sz val="11"/>
        <color theme="1"/>
        <rFont val="Calibri"/>
        <family val="2"/>
        <scheme val="minor"/>
      </rPr>
      <t>LARANJAS</t>
    </r>
    <r>
      <rPr>
        <sz val="11"/>
        <color theme="1"/>
        <rFont val="Calibri"/>
        <family val="2"/>
        <scheme val="minor"/>
      </rPr>
      <t xml:space="preserve"> (OUTRO ARQUIVO)</t>
    </r>
  </si>
  <si>
    <t>VINCULO - ARQUIVO "LARANJA" - CÉLULA "A2": 50</t>
  </si>
  <si>
    <t>Quantidade de Datas posteriores a 10/01/2012</t>
  </si>
  <si>
    <t>Datas extraídas do Sistema</t>
  </si>
  <si>
    <t>Analisando com a Fórmula SOMA</t>
  </si>
  <si>
    <t>NECESSIDADE</t>
  </si>
  <si>
    <t>TEXTO</t>
  </si>
  <si>
    <t>NÚMERO</t>
  </si>
  <si>
    <t>EXCEL</t>
  </si>
  <si>
    <t>MICROSOFT</t>
  </si>
  <si>
    <t>WORD</t>
  </si>
  <si>
    <t>POWERPOINT</t>
  </si>
  <si>
    <t>Excel</t>
  </si>
  <si>
    <t>Abílio</t>
  </si>
  <si>
    <t>Abraão</t>
  </si>
  <si>
    <t>Adalberto</t>
  </si>
  <si>
    <t>Adão</t>
  </si>
  <si>
    <t>Ada</t>
  </si>
  <si>
    <t>Adalgisa</t>
  </si>
  <si>
    <t>Adelaide</t>
  </si>
  <si>
    <t>Adélia</t>
  </si>
  <si>
    <t>Adelina</t>
  </si>
  <si>
    <r>
      <t xml:space="preserve">SOMA INTERVALO "PRI_TRIMESTRE" </t>
    </r>
    <r>
      <rPr>
        <i/>
        <sz val="11"/>
        <color theme="1"/>
        <rFont val="Calibri"/>
        <family val="2"/>
        <scheme val="minor"/>
      </rPr>
      <t>(Plan "Vínculo Nomes")</t>
    </r>
  </si>
  <si>
    <t>▼         Mesclar Através        ▼</t>
  </si>
  <si>
    <t>Pedro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</si>
  <si>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</si>
  <si>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</si>
  <si>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</si>
  <si>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</si>
  <si>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</si>
  <si>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</si>
  <si>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</si>
  <si>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</si>
  <si>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</si>
  <si>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</si>
  <si>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</si>
  <si>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</si>
  <si>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</si>
  <si>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</si>
  <si>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PESO NOTA 1</t>
  </si>
  <si>
    <t>PESO NOTA 2</t>
  </si>
  <si>
    <t>PESO NOTA 3</t>
  </si>
  <si>
    <t>MÉDIA DA ESCOLA</t>
  </si>
  <si>
    <t>ALUNO</t>
  </si>
  <si>
    <t>P1</t>
  </si>
  <si>
    <t>P2</t>
  </si>
  <si>
    <t>PF</t>
  </si>
  <si>
    <t>NOTA NECESSÁRIA PF</t>
  </si>
  <si>
    <t>MÉDIA PONDERADA</t>
  </si>
  <si>
    <t>Abrahão</t>
  </si>
  <si>
    <t>Abrão</t>
  </si>
  <si>
    <t>Adela</t>
  </si>
  <si>
    <t>Adelberto</t>
  </si>
  <si>
    <t>Adèle</t>
  </si>
  <si>
    <t>Valor Total</t>
  </si>
  <si>
    <t>b</t>
  </si>
  <si>
    <t>c</t>
  </si>
  <si>
    <t>Preencher igual a célula de cima</t>
  </si>
  <si>
    <t>Escrever o mesmo texto em várias células ao mesmo tempo (ctrl + enter)</t>
  </si>
  <si>
    <t>Trocar todos por "b"</t>
  </si>
  <si>
    <t>Selecionar células em branco com "Ir para Especial"</t>
  </si>
  <si>
    <t>Inserir 0 em todas as células em branco</t>
  </si>
  <si>
    <t>DATA INÍCIO DAS OLIMPÍADAS DE 2016</t>
  </si>
  <si>
    <t>Data de Hoje (fórmula)</t>
  </si>
  <si>
    <t>Início Olimpíadas</t>
  </si>
  <si>
    <t>Início das olimpíadas</t>
  </si>
  <si>
    <t>Ir Para "F5" 
(ir e voltar entre a célula C10 da primeira planilha)</t>
  </si>
  <si>
    <r>
      <t>Número 100 formatado como "</t>
    </r>
    <r>
      <rPr>
        <b/>
        <sz val="11"/>
        <color theme="1"/>
        <rFont val="Calibri"/>
        <family val="2"/>
        <scheme val="minor"/>
      </rPr>
      <t>Data Abreviada</t>
    </r>
    <r>
      <rPr>
        <sz val="11"/>
        <color theme="1"/>
        <rFont val="Calibri"/>
        <family val="2"/>
        <scheme val="minor"/>
      </rPr>
      <t>"</t>
    </r>
  </si>
  <si>
    <r>
      <t>Número 100 formatado com "</t>
    </r>
    <r>
      <rPr>
        <b/>
        <sz val="11"/>
        <color theme="1"/>
        <rFont val="Calibri"/>
        <family val="2"/>
        <scheme val="minor"/>
      </rPr>
      <t>Geral</t>
    </r>
    <r>
      <rPr>
        <sz val="11"/>
        <color theme="1"/>
        <rFont val="Calibri"/>
        <family val="2"/>
        <scheme val="minor"/>
      </rPr>
      <t>"</t>
    </r>
  </si>
  <si>
    <t>FÓRMULA HOJE()</t>
  </si>
  <si>
    <t>FÓRMULA AGORA()</t>
  </si>
  <si>
    <t>Número</t>
  </si>
  <si>
    <t>Formato</t>
  </si>
  <si>
    <t>Resultado</t>
  </si>
  <si>
    <t>###.###.###,##</t>
  </si>
  <si>
    <t>000.000.000,00</t>
  </si>
  <si>
    <t>###.###,00</t>
  </si>
  <si>
    <t>###.###,00. "Mil"</t>
  </si>
  <si>
    <t>###.###,00. "Milhões"</t>
  </si>
  <si>
    <t>R$ ###.###,00. "Milhões"</t>
  </si>
  <si>
    <t>"US$" ###.###,00. "Milhões"</t>
  </si>
  <si>
    <t>Vinho</t>
  </si>
  <si>
    <t>No meio
 do caminho tinha
 uma pedra</t>
  </si>
  <si>
    <t>0023</t>
  </si>
  <si>
    <t>000152</t>
  </si>
  <si>
    <t>00987</t>
  </si>
  <si>
    <t>0654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</si>
</sst>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0&quot;.&quot;000&quot;.&quot;000&quot;/&quot;0000&quot;-&quot;00"/>
    <numFmt numFmtId="166" formatCode="_-* #,##0.0_-;\-* #,##0.0_-;_-* &quot;-&quot;?_-;_-@_-"/>
    <numFmt numFmtId="167" formatCode="_-* #,##0.0_-;\-* #,##0.0_-;_-* &quot;-&quot;??_-;_-@_-"/>
    <numFmt numFmtId="170" formatCode="0.00_ ;[Red]\-0.00\ "/>
    <numFmt numFmtId="172" formatCode="###,###,###.##"/>
    <numFmt numFmtId="173" formatCode="000,000,000.00"/>
    <numFmt numFmtId="174" formatCode="###,###.00"/>
    <numFmt numFmtId="175" formatCode="###,###.00,&quot;Mil&quot;"/>
    <numFmt numFmtId="176" formatCode="###,###.00,\ &quot;Milhões&quot;"/>
    <numFmt numFmtId="177" formatCode="&quot;R$&quot;\ ###,###.00,\ &quot;Milhões&quot;"/>
    <numFmt numFmtId="178" formatCode="&quot;US$&quot;\ ###,###.00,\ &quot;Milhões&quot;"/>
    <numFmt numFmtId="181" formatCode="0&quot;h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6" tint="-0.49803155613879818"/>
        </stop>
      </gradient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rgb="FFFF0000"/>
      </left>
      <right/>
      <top style="hair">
        <color rgb="FFFF0000"/>
      </top>
      <bottom/>
      <diagonal/>
    </border>
    <border>
      <left/>
      <right/>
      <top style="hair">
        <color rgb="FFFF0000"/>
      </top>
      <bottom/>
      <diagonal/>
    </border>
    <border>
      <left/>
      <right style="hair">
        <color rgb="FFFF0000"/>
      </right>
      <top style="hair">
        <color rgb="FFFF0000"/>
      </top>
      <bottom/>
      <diagonal/>
    </border>
    <border>
      <left style="hair">
        <color rgb="FFFF0000"/>
      </left>
      <right/>
      <top/>
      <bottom/>
      <diagonal/>
    </border>
    <border>
      <left/>
      <right style="hair">
        <color rgb="FFFF0000"/>
      </right>
      <top/>
      <bottom/>
      <diagonal/>
    </border>
    <border>
      <left style="hair">
        <color rgb="FFFF0000"/>
      </left>
      <right/>
      <top/>
      <bottom style="hair">
        <color rgb="FFFF0000"/>
      </bottom>
      <diagonal/>
    </border>
    <border>
      <left/>
      <right/>
      <top/>
      <bottom style="hair">
        <color rgb="FFFF0000"/>
      </bottom>
      <diagonal/>
    </border>
    <border>
      <left/>
      <right style="hair">
        <color rgb="FFFF0000"/>
      </right>
      <top/>
      <bottom style="hair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02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4" xfId="0" applyFont="1" applyFill="1" applyBorder="1"/>
    <xf numFmtId="0" fontId="1" fillId="3" borderId="3" xfId="0" applyFont="1" applyFill="1" applyBorder="1"/>
    <xf numFmtId="0" fontId="5" fillId="0" borderId="0" xfId="0" applyFont="1"/>
    <xf numFmtId="0" fontId="2" fillId="0" borderId="0" xfId="0" applyFont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7" xfId="0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9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44" fontId="1" fillId="3" borderId="7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0" xfId="0" applyBorder="1"/>
    <xf numFmtId="0" fontId="0" fillId="0" borderId="11" xfId="0" applyBorder="1"/>
    <xf numFmtId="0" fontId="2" fillId="5" borderId="1" xfId="0" applyFont="1" applyFill="1" applyBorder="1" applyAlignment="1">
      <alignment horizontal="center" vertical="center"/>
    </xf>
    <xf numFmtId="44" fontId="0" fillId="0" borderId="1" xfId="1" applyFont="1" applyBorder="1"/>
    <xf numFmtId="44" fontId="0" fillId="0" borderId="0" xfId="1" applyFont="1" applyFill="1"/>
    <xf numFmtId="44" fontId="1" fillId="0" borderId="1" xfId="1" applyFont="1" applyFill="1" applyBorder="1"/>
    <xf numFmtId="0" fontId="0" fillId="0" borderId="3" xfId="0" applyBorder="1"/>
    <xf numFmtId="0" fontId="12" fillId="0" borderId="1" xfId="0" applyFont="1" applyBorder="1"/>
    <xf numFmtId="0" fontId="1" fillId="0" borderId="0" xfId="0" applyFont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164" fontId="2" fillId="11" borderId="1" xfId="2" applyNumberFormat="1" applyFont="1" applyFill="1" applyBorder="1" applyAlignment="1">
      <alignment vertical="center"/>
    </xf>
    <xf numFmtId="164" fontId="3" fillId="0" borderId="1" xfId="2" applyNumberFormat="1" applyFont="1" applyFill="1" applyBorder="1" applyAlignment="1">
      <alignment horizontal="center" vertical="center"/>
    </xf>
    <xf numFmtId="0" fontId="0" fillId="0" borderId="13" xfId="0" applyBorder="1"/>
    <xf numFmtId="14" fontId="0" fillId="0" borderId="0" xfId="0" applyNumberFormat="1"/>
    <xf numFmtId="0" fontId="1" fillId="14" borderId="1" xfId="0" applyFont="1" applyFill="1" applyBorder="1"/>
    <xf numFmtId="0" fontId="0" fillId="0" borderId="1" xfId="0" applyBorder="1" applyAlignment="1">
      <alignment horizontal="right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right"/>
    </xf>
    <xf numFmtId="165" fontId="2" fillId="0" borderId="1" xfId="2" applyNumberFormat="1" applyFont="1" applyFill="1" applyBorder="1" applyAlignment="1">
      <alignment horizontal="center"/>
    </xf>
    <xf numFmtId="14" fontId="3" fillId="0" borderId="0" xfId="0" applyNumberFormat="1" applyFont="1"/>
    <xf numFmtId="22" fontId="3" fillId="0" borderId="0" xfId="0" applyNumberFormat="1" applyFont="1"/>
    <xf numFmtId="0" fontId="13" fillId="0" borderId="1" xfId="0" applyFont="1" applyBorder="1"/>
    <xf numFmtId="0" fontId="0" fillId="0" borderId="1" xfId="0" applyBorder="1" applyAlignment="1">
      <alignment vertical="center"/>
    </xf>
    <xf numFmtId="44" fontId="1" fillId="3" borderId="1" xfId="0" applyNumberFormat="1" applyFont="1" applyFill="1" applyBorder="1"/>
    <xf numFmtId="1" fontId="3" fillId="0" borderId="0" xfId="0" applyNumberFormat="1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" fontId="2" fillId="0" borderId="26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4" fontId="0" fillId="0" borderId="1" xfId="0" quotePrefix="1" applyNumberFormat="1" applyBorder="1" applyAlignment="1">
      <alignment horizontal="right"/>
    </xf>
    <xf numFmtId="0" fontId="0" fillId="0" borderId="20" xfId="0" applyBorder="1"/>
    <xf numFmtId="0" fontId="1" fillId="15" borderId="22" xfId="0" applyFont="1" applyFill="1" applyBorder="1" applyAlignment="1">
      <alignment horizontal="center"/>
    </xf>
    <xf numFmtId="0" fontId="0" fillId="0" borderId="23" xfId="0" applyBorder="1"/>
    <xf numFmtId="0" fontId="1" fillId="10" borderId="24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166" fontId="0" fillId="0" borderId="0" xfId="0" applyNumberFormat="1"/>
    <xf numFmtId="0" fontId="0" fillId="8" borderId="25" xfId="0" applyFill="1" applyBorder="1"/>
    <xf numFmtId="43" fontId="1" fillId="8" borderId="27" xfId="2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67" fontId="0" fillId="9" borderId="1" xfId="2" applyNumberFormat="1" applyFont="1" applyFill="1" applyBorder="1"/>
    <xf numFmtId="167" fontId="0" fillId="10" borderId="1" xfId="2" applyNumberFormat="1" applyFont="1" applyFill="1" applyBorder="1"/>
    <xf numFmtId="167" fontId="0" fillId="3" borderId="1" xfId="2" applyNumberFormat="1" applyFont="1" applyFill="1" applyBorder="1"/>
    <xf numFmtId="167" fontId="16" fillId="3" borderId="1" xfId="2" applyNumberFormat="1" applyFont="1" applyFill="1" applyBorder="1" applyAlignment="1">
      <alignment horizontal="center" vertical="center"/>
    </xf>
    <xf numFmtId="167" fontId="1" fillId="0" borderId="1" xfId="2" applyNumberFormat="1" applyFont="1" applyBorder="1"/>
    <xf numFmtId="0" fontId="1" fillId="0" borderId="0" xfId="0" applyFont="1" applyAlignment="1">
      <alignment horizontal="right"/>
    </xf>
    <xf numFmtId="164" fontId="0" fillId="0" borderId="1" xfId="2" applyNumberFormat="1" applyFont="1" applyBorder="1"/>
    <xf numFmtId="44" fontId="0" fillId="0" borderId="1" xfId="0" applyNumberFormat="1" applyBorder="1"/>
    <xf numFmtId="0" fontId="0" fillId="2" borderId="0" xfId="0" applyFill="1"/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6" borderId="0" xfId="0" applyFill="1"/>
    <xf numFmtId="0" fontId="0" fillId="4" borderId="0" xfId="0" applyFill="1"/>
    <xf numFmtId="0" fontId="0" fillId="17" borderId="0" xfId="0" applyFill="1"/>
    <xf numFmtId="0" fontId="0" fillId="18" borderId="1" xfId="0" applyFill="1" applyBorder="1"/>
    <xf numFmtId="0" fontId="0" fillId="18" borderId="0" xfId="0" applyFill="1"/>
    <xf numFmtId="44" fontId="0" fillId="0" borderId="0" xfId="1" applyFont="1"/>
    <xf numFmtId="0" fontId="1" fillId="3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0" borderId="26" xfId="0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4" fontId="2" fillId="3" borderId="8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right"/>
    </xf>
    <xf numFmtId="20" fontId="2" fillId="3" borderId="8" xfId="0" applyNumberFormat="1" applyFont="1" applyFill="1" applyBorder="1" applyAlignment="1">
      <alignment horizontal="center"/>
    </xf>
    <xf numFmtId="14" fontId="2" fillId="3" borderId="9" xfId="0" applyNumberFormat="1" applyFont="1" applyFill="1" applyBorder="1" applyAlignment="1">
      <alignment horizontal="center"/>
    </xf>
    <xf numFmtId="14" fontId="1" fillId="3" borderId="8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0" fontId="12" fillId="2" borderId="19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shrinkToFit="1"/>
    </xf>
    <xf numFmtId="0" fontId="8" fillId="0" borderId="3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19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4" fontId="3" fillId="0" borderId="1" xfId="1" applyFont="1" applyBorder="1"/>
    <xf numFmtId="44" fontId="3" fillId="7" borderId="1" xfId="1" applyFont="1" applyFill="1" applyBorder="1"/>
    <xf numFmtId="8" fontId="3" fillId="0" borderId="1" xfId="1" applyNumberFormat="1" applyFont="1" applyBorder="1"/>
    <xf numFmtId="8" fontId="3" fillId="7" borderId="1" xfId="1" applyNumberFormat="1" applyFont="1" applyFill="1" applyBorder="1"/>
    <xf numFmtId="170" fontId="3" fillId="0" borderId="1" xfId="0" applyNumberFormat="1" applyFont="1" applyBorder="1"/>
    <xf numFmtId="165" fontId="0" fillId="0" borderId="3" xfId="0" applyNumberFormat="1" applyBorder="1"/>
    <xf numFmtId="172" fontId="0" fillId="0" borderId="1" xfId="0" applyNumberFormat="1" applyBorder="1" applyAlignment="1">
      <alignment horizontal="center" vertical="center" wrapText="1"/>
    </xf>
    <xf numFmtId="173" fontId="0" fillId="0" borderId="1" xfId="0" applyNumberFormat="1" applyBorder="1" applyAlignment="1">
      <alignment horizontal="center" vertical="center" wrapText="1"/>
    </xf>
    <xf numFmtId="174" fontId="0" fillId="0" borderId="1" xfId="0" applyNumberFormat="1" applyBorder="1" applyAlignment="1">
      <alignment horizontal="center" vertical="center" wrapText="1"/>
    </xf>
    <xf numFmtId="175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quotePrefix="1" applyNumberFormat="1" applyFont="1" applyFill="1" applyBorder="1" applyAlignment="1">
      <alignment horizontal="center"/>
    </xf>
    <xf numFmtId="181" fontId="0" fillId="0" borderId="1" xfId="0" applyNumberFormat="1" applyBorder="1"/>
    <xf numFmtId="181" fontId="1" fillId="0" borderId="1" xfId="0" applyNumberFormat="1" applyFont="1" applyBorder="1"/>
    <xf numFmtId="0" fontId="17" fillId="0" borderId="0" xfId="0" applyFont="1"/>
  </cellXfs>
  <cellStyles count="3">
    <cellStyle name="Moeda" xfId="1" builtinId="4"/>
    <cellStyle name="Normal" xfId="0" builtinId="0"/>
    <cellStyle name="Vírgula" xfId="2" builtinId="3"/>
  </cellStyles>
  <dxfs count="3"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2" defaultPivotStyle="PivotStyleLight16">
    <tableStyle name="Estilo Dinâmico Simplificado" table="0" count="3"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42" Type="http://schemas.openxmlformats.org/officeDocument/2006/relationships/customXml" Target="../customXml/item4.xml"/><Relationship Id="rId47" Type="http://schemas.openxmlformats.org/officeDocument/2006/relationships/customXml" Target="../customXml/item9.xml"/><Relationship Id="rId50" Type="http://schemas.openxmlformats.org/officeDocument/2006/relationships/customXml" Target="../customXml/item12.xml"/><Relationship Id="rId55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powerPivotData" Target="model/item.data"/><Relationship Id="rId40" Type="http://schemas.openxmlformats.org/officeDocument/2006/relationships/customXml" Target="../customXml/item2.xml"/><Relationship Id="rId45" Type="http://schemas.openxmlformats.org/officeDocument/2006/relationships/customXml" Target="../customXml/item7.xml"/><Relationship Id="rId53" Type="http://schemas.openxmlformats.org/officeDocument/2006/relationships/customXml" Target="../customXml/item15.xml"/><Relationship Id="rId58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43" Type="http://schemas.openxmlformats.org/officeDocument/2006/relationships/customXml" Target="../customXml/item5.xml"/><Relationship Id="rId48" Type="http://schemas.openxmlformats.org/officeDocument/2006/relationships/customXml" Target="../customXml/item10.xml"/><Relationship Id="rId56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alcChain" Target="calcChain.xml"/><Relationship Id="rId46" Type="http://schemas.openxmlformats.org/officeDocument/2006/relationships/customXml" Target="../customXml/item8.xml"/><Relationship Id="rId59" Type="http://schemas.openxmlformats.org/officeDocument/2006/relationships/customXml" Target="../customXml/item21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3.xml"/><Relationship Id="rId54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49" Type="http://schemas.openxmlformats.org/officeDocument/2006/relationships/customXml" Target="../customXml/item11.xml"/><Relationship Id="rId57" Type="http://schemas.openxmlformats.org/officeDocument/2006/relationships/customXml" Target="../customXml/item1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customXml" Target="../customXml/item6.xml"/><Relationship Id="rId52" Type="http://schemas.openxmlformats.org/officeDocument/2006/relationships/customXml" Target="../customXml/item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[Atividadedereforco.xlsx]1-Novidades 2010!Tabela dinâmica1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'1-Novidades 2010'!$V$2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'1-Novidades 2010'!$U$3:$U$15</c:f>
              <c:multiLvlStrCache>
                <c:ptCount val="8"/>
                <c:lvl>
                  <c:pt idx="0">
                    <c:v>OESTE</c:v>
                  </c:pt>
                  <c:pt idx="1">
                    <c:v>SUL</c:v>
                  </c:pt>
                  <c:pt idx="2">
                    <c:v>LESTE</c:v>
                  </c:pt>
                  <c:pt idx="3">
                    <c:v>NORTE</c:v>
                  </c:pt>
                  <c:pt idx="4">
                    <c:v>OESTE</c:v>
                  </c:pt>
                  <c:pt idx="5">
                    <c:v>LESTE</c:v>
                  </c:pt>
                  <c:pt idx="6">
                    <c:v>NORTE</c:v>
                  </c:pt>
                  <c:pt idx="7">
                    <c:v>SUL</c:v>
                  </c:pt>
                </c:lvl>
                <c:lvl>
                  <c:pt idx="0">
                    <c:v>A</c:v>
                  </c:pt>
                  <c:pt idx="2">
                    <c:v>B</c:v>
                  </c:pt>
                  <c:pt idx="5">
                    <c:v>C</c:v>
                  </c:pt>
                  <c:pt idx="7">
                    <c:v>D</c:v>
                  </c:pt>
                </c:lvl>
              </c:multiLvlStrCache>
            </c:multiLvlStrRef>
          </c:cat>
          <c:val>
            <c:numRef>
              <c:f>'1-Novidades 2010'!$V$3:$V$15</c:f>
              <c:numCache>
                <c:formatCode>General</c:formatCode>
                <c:ptCount val="8"/>
                <c:pt idx="0">
                  <c:v>10</c:v>
                </c:pt>
                <c:pt idx="1">
                  <c:v>12</c:v>
                </c:pt>
                <c:pt idx="2">
                  <c:v>25</c:v>
                </c:pt>
                <c:pt idx="3">
                  <c:v>3</c:v>
                </c:pt>
                <c:pt idx="4">
                  <c:v>4</c:v>
                </c:pt>
                <c:pt idx="5">
                  <c:v>20</c:v>
                </c:pt>
                <c:pt idx="6">
                  <c:v>100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6-4A23-B227-E13223E3F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8593880"/>
        <c:axId val="358590744"/>
      </c:barChart>
      <c:catAx>
        <c:axId val="358593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58590744"/>
        <c:crosses val="autoZero"/>
        <c:auto val="1"/>
        <c:lblAlgn val="ctr"/>
        <c:lblOffset val="100"/>
        <c:noMultiLvlLbl val="0"/>
      </c:catAx>
      <c:valAx>
        <c:axId val="358590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8593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97" footer="0.31496062000000097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19051</xdr:colOff>
      <xdr:row>0</xdr:row>
      <xdr:rowOff>38100</xdr:rowOff>
    </xdr:from>
    <xdr:to>
      <xdr:col>10</xdr:col>
      <xdr:colOff>323850</xdr:colOff>
      <xdr:row>0</xdr:row>
      <xdr:rowOff>554769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6" y="38100"/>
          <a:ext cx="2314574" cy="516669"/>
        </a:xfrm>
        <a:prstGeom prst="rect">
          <a:avLst/>
        </a:prstGeom>
      </xdr:spPr>
    </xdr:pic>
    <xdr:clientData/>
  </xdr:twoCellAnchor>
  <xdr:oneCellAnchor>
    <xdr:from>
      <xdr:col>0</xdr:col>
      <xdr:colOff>-123810</xdr:colOff>
      <xdr:row>0</xdr:row>
      <xdr:rowOff>1031373</xdr:rowOff>
    </xdr:from>
    <xdr:ext cx="3352777" cy="405432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-123810" y="1031373"/>
          <a:ext cx="3352777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1.3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Formatações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Condicionais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66674</xdr:colOff>
      <xdr:row>0</xdr:row>
      <xdr:rowOff>1059948</xdr:rowOff>
    </xdr:from>
    <xdr:ext cx="3133725" cy="405432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724274" y="1059948"/>
          <a:ext cx="3133725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1.4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Aprimoramento Filtros</a:t>
          </a:r>
        </a:p>
      </xdr:txBody>
    </xdr:sp>
    <xdr:clientData/>
  </xdr:oneCellAnchor>
  <xdr:oneCellAnchor>
    <xdr:from>
      <xdr:col>12</xdr:col>
      <xdr:colOff>123825</xdr:colOff>
      <xdr:row>0</xdr:row>
      <xdr:rowOff>1059948</xdr:rowOff>
    </xdr:from>
    <xdr:ext cx="2305050" cy="405432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677150" y="1059948"/>
          <a:ext cx="230505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1.5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Mini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Gráficos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466725</xdr:colOff>
      <xdr:row>0</xdr:row>
      <xdr:rowOff>450348</xdr:rowOff>
    </xdr:from>
    <xdr:ext cx="9372600" cy="530658"/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66725" y="450348"/>
          <a:ext cx="937260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Novidades -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Excel 2010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19</xdr:col>
      <xdr:colOff>600075</xdr:colOff>
      <xdr:row>0</xdr:row>
      <xdr:rowOff>1059948</xdr:rowOff>
    </xdr:from>
    <xdr:ext cx="2438400" cy="405432"/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372725" y="1059948"/>
          <a:ext cx="243840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1.6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Tabelas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Dinâmicas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22</xdr:col>
      <xdr:colOff>609599</xdr:colOff>
      <xdr:row>0</xdr:row>
      <xdr:rowOff>1059948</xdr:rowOff>
    </xdr:from>
    <xdr:ext cx="3190875" cy="405432"/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096874" y="1059948"/>
          <a:ext cx="3190875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Segmentação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de Dados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30</xdr:col>
      <xdr:colOff>133349</xdr:colOff>
      <xdr:row>0</xdr:row>
      <xdr:rowOff>1059948</xdr:rowOff>
    </xdr:from>
    <xdr:ext cx="3781426" cy="405432"/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7497424" y="1059948"/>
          <a:ext cx="3781426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Aprimoramento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dos Gráficos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twoCellAnchor>
    <xdr:from>
      <xdr:col>29</xdr:col>
      <xdr:colOff>257175</xdr:colOff>
      <xdr:row>1</xdr:row>
      <xdr:rowOff>4762</xdr:rowOff>
    </xdr:from>
    <xdr:to>
      <xdr:col>36</xdr:col>
      <xdr:colOff>561975</xdr:colOff>
      <xdr:row>15</xdr:row>
      <xdr:rowOff>80962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38</xdr:col>
      <xdr:colOff>0</xdr:colOff>
      <xdr:row>1</xdr:row>
      <xdr:rowOff>0</xdr:rowOff>
    </xdr:from>
    <xdr:to>
      <xdr:col>45</xdr:col>
      <xdr:colOff>342900</xdr:colOff>
      <xdr:row>18</xdr:row>
      <xdr:rowOff>180657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40875" y="1485900"/>
          <a:ext cx="4610100" cy="3419157"/>
        </a:xfrm>
        <a:prstGeom prst="rect">
          <a:avLst/>
        </a:prstGeom>
      </xdr:spPr>
    </xdr:pic>
    <xdr:clientData/>
  </xdr:twoCellAnchor>
  <xdr:oneCellAnchor>
    <xdr:from>
      <xdr:col>38</xdr:col>
      <xdr:colOff>228599</xdr:colOff>
      <xdr:row>0</xdr:row>
      <xdr:rowOff>1059948</xdr:rowOff>
    </xdr:from>
    <xdr:ext cx="3781426" cy="405432"/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2469474" y="1059948"/>
          <a:ext cx="3781426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Edições de Imagens - Office 2010</a:t>
          </a:r>
        </a:p>
      </xdr:txBody>
    </xdr:sp>
    <xdr:clientData/>
  </xdr:oneCellAnchor>
  <xdr:twoCellAnchor>
    <xdr:from>
      <xdr:col>5</xdr:col>
      <xdr:colOff>209550</xdr:colOff>
      <xdr:row>1</xdr:row>
      <xdr:rowOff>47625</xdr:rowOff>
    </xdr:from>
    <xdr:to>
      <xdr:col>5</xdr:col>
      <xdr:colOff>209550</xdr:colOff>
      <xdr:row>17</xdr:row>
      <xdr:rowOff>161925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3257550" y="1533525"/>
          <a:ext cx="0" cy="3162300"/>
        </a:xfrm>
        <a:prstGeom prst="line">
          <a:avLst/>
        </a:prstGeom>
        <a:ln>
          <a:solidFill>
            <a:schemeClr val="accent3">
              <a:lumMod val="50000"/>
            </a:schemeClr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466725</xdr:colOff>
      <xdr:row>0</xdr:row>
      <xdr:rowOff>1476375</xdr:rowOff>
    </xdr:from>
    <xdr:to>
      <xdr:col>11</xdr:col>
      <xdr:colOff>466725</xdr:colOff>
      <xdr:row>17</xdr:row>
      <xdr:rowOff>161925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7410450" y="1476375"/>
          <a:ext cx="0" cy="3219450"/>
        </a:xfrm>
        <a:prstGeom prst="line">
          <a:avLst/>
        </a:prstGeom>
        <a:ln>
          <a:solidFill>
            <a:schemeClr val="accent3">
              <a:lumMod val="50000"/>
            </a:schemeClr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504825</xdr:colOff>
      <xdr:row>0</xdr:row>
      <xdr:rowOff>1419225</xdr:rowOff>
    </xdr:from>
    <xdr:to>
      <xdr:col>19</xdr:col>
      <xdr:colOff>504825</xdr:colOff>
      <xdr:row>17</xdr:row>
      <xdr:rowOff>161925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10277475" y="1419225"/>
          <a:ext cx="0" cy="3276600"/>
        </a:xfrm>
        <a:prstGeom prst="line">
          <a:avLst/>
        </a:prstGeom>
        <a:ln>
          <a:solidFill>
            <a:schemeClr val="accent3">
              <a:lumMod val="50000"/>
            </a:schemeClr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371475</xdr:colOff>
      <xdr:row>1</xdr:row>
      <xdr:rowOff>0</xdr:rowOff>
    </xdr:from>
    <xdr:to>
      <xdr:col>22</xdr:col>
      <xdr:colOff>371475</xdr:colOff>
      <xdr:row>17</xdr:row>
      <xdr:rowOff>161925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12858750" y="1485900"/>
          <a:ext cx="0" cy="3209925"/>
        </a:xfrm>
        <a:prstGeom prst="line">
          <a:avLst/>
        </a:prstGeom>
        <a:ln>
          <a:solidFill>
            <a:schemeClr val="accent3">
              <a:lumMod val="50000"/>
            </a:schemeClr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104775</xdr:colOff>
      <xdr:row>0</xdr:row>
      <xdr:rowOff>1457325</xdr:rowOff>
    </xdr:from>
    <xdr:to>
      <xdr:col>29</xdr:col>
      <xdr:colOff>104775</xdr:colOff>
      <xdr:row>17</xdr:row>
      <xdr:rowOff>161925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16859250" y="1457325"/>
          <a:ext cx="0" cy="3238500"/>
        </a:xfrm>
        <a:prstGeom prst="line">
          <a:avLst/>
        </a:prstGeom>
        <a:ln>
          <a:solidFill>
            <a:schemeClr val="accent3">
              <a:lumMod val="50000"/>
            </a:schemeClr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57149</xdr:colOff>
      <xdr:row>6</xdr:row>
      <xdr:rowOff>38101</xdr:rowOff>
    </xdr:from>
    <xdr:ext cx="4114801" cy="457200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7149" y="1181101"/>
          <a:ext cx="4114801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Selecione todas as células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abaixo</a:t>
          </a: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19050</xdr:colOff>
      <xdr:row>3</xdr:row>
      <xdr:rowOff>57150</xdr:rowOff>
    </xdr:from>
    <xdr:ext cx="9372600" cy="530658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9050" y="628650"/>
          <a:ext cx="937260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Selecionando células, colunas e linhas</a:t>
          </a:r>
        </a:p>
      </xdr:txBody>
    </xdr:sp>
    <xdr:clientData/>
  </xdr:oneCellAnchor>
  <xdr:oneCellAnchor>
    <xdr:from>
      <xdr:col>5</xdr:col>
      <xdr:colOff>657224</xdr:colOff>
      <xdr:row>6</xdr:row>
      <xdr:rowOff>28575</xdr:rowOff>
    </xdr:from>
    <xdr:ext cx="6257925" cy="457200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5086349" y="1171575"/>
          <a:ext cx="6257925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Arraste os meses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abaixo confome mostra a imagem:</a:t>
          </a: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8</xdr:col>
      <xdr:colOff>742950</xdr:colOff>
      <xdr:row>7</xdr:row>
      <xdr:rowOff>152400</xdr:rowOff>
    </xdr:from>
    <xdr:to>
      <xdr:col>10</xdr:col>
      <xdr:colOff>190500</xdr:colOff>
      <xdr:row>13</xdr:row>
      <xdr:rowOff>137336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58150" y="1485900"/>
          <a:ext cx="1276350" cy="112793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oneCellAnchor>
    <xdr:from>
      <xdr:col>0</xdr:col>
      <xdr:colOff>1</xdr:colOff>
      <xdr:row>24</xdr:row>
      <xdr:rowOff>0</xdr:rowOff>
    </xdr:from>
    <xdr:ext cx="3276600" cy="457200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" y="4762500"/>
          <a:ext cx="3276600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3.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Pinte as linhas 28,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30 e 32:</a:t>
          </a: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28575</xdr:colOff>
      <xdr:row>33</xdr:row>
      <xdr:rowOff>28575</xdr:rowOff>
    </xdr:from>
    <xdr:ext cx="3276600" cy="457200"/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28575" y="6505575"/>
          <a:ext cx="3276600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4.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Pinte as colunas B,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D e G:</a:t>
          </a: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28574</xdr:colOff>
      <xdr:row>39</xdr:row>
      <xdr:rowOff>47625</xdr:rowOff>
    </xdr:from>
    <xdr:ext cx="6372225" cy="457200"/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28574" y="7477125"/>
          <a:ext cx="6372225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5.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Altere a largura das colunas A,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C e E ao mesmo tempo</a:t>
          </a: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28574</xdr:colOff>
      <xdr:row>45</xdr:row>
      <xdr:rowOff>123825</xdr:rowOff>
    </xdr:from>
    <xdr:ext cx="6372225" cy="457200"/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28574" y="8696325"/>
          <a:ext cx="6372225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6.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Altere a altura das linhas 50, 52 e 54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ao mesmo tempo</a:t>
          </a: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266699</xdr:colOff>
      <xdr:row>5</xdr:row>
      <xdr:rowOff>180977</xdr:rowOff>
    </xdr:from>
    <xdr:ext cx="4972051" cy="866774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6972299" y="1133477"/>
          <a:ext cx="4972051" cy="866774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Apague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somente os nomes utilizando o "Ctrl" + "Shift" + </a:t>
          </a:r>
          <a:r>
            <a:rPr lang="pt-BR" sz="32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  <a:latin typeface="Wingdings 3" pitchFamily="18" charset="2"/>
              <a:ea typeface="+mn-ea"/>
              <a:cs typeface="+mn-cs"/>
            </a:rPr>
            <a:t>i</a:t>
          </a:r>
          <a:r>
            <a:rPr lang="pt-BR" sz="105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  <a:latin typeface="Wingdings 3" pitchFamily="18" charset="2"/>
              <a:ea typeface="+mn-ea"/>
              <a:cs typeface="+mn-cs"/>
            </a:rPr>
            <a:t> </a:t>
          </a:r>
          <a:r>
            <a:rPr lang="pt-BR" sz="14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  <a:latin typeface="+mn-lt"/>
              <a:ea typeface="+mn-ea"/>
              <a:cs typeface="+mn-cs"/>
            </a:rPr>
            <a:t>(sete para baixo)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+ Delete</a:t>
          </a: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0</xdr:colOff>
      <xdr:row>3</xdr:row>
      <xdr:rowOff>57150</xdr:rowOff>
    </xdr:from>
    <xdr:ext cx="9372600" cy="530658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9050" y="628650"/>
          <a:ext cx="937260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</a:t>
          </a:r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Deslocando-se sobre células e planilhas</a:t>
          </a:r>
        </a:p>
      </xdr:txBody>
    </xdr:sp>
    <xdr:clientData/>
  </xdr:oneCellAnchor>
  <xdr:oneCellAnchor>
    <xdr:from>
      <xdr:col>0</xdr:col>
      <xdr:colOff>0</xdr:colOff>
      <xdr:row>6</xdr:row>
      <xdr:rowOff>104775</xdr:rowOff>
    </xdr:from>
    <xdr:ext cx="6867526" cy="476250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0" y="1247775"/>
          <a:ext cx="6867526" cy="47625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Vá para a célula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"Maria" e aperte "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Ctrl"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+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  <a:latin typeface="Wingdings 3" pitchFamily="18" charset="2"/>
            </a:rPr>
            <a:t>g</a:t>
          </a:r>
          <a:r>
            <a:rPr lang="pt-BR" sz="9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  <a:latin typeface="Wingdings 3" pitchFamily="18" charset="2"/>
            </a:rPr>
            <a:t> </a:t>
          </a:r>
          <a:r>
            <a:rPr lang="pt-BR" sz="14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  <a:latin typeface="+mn-lt"/>
            </a:rPr>
            <a:t>(sete para esquerda)</a:t>
          </a:r>
          <a:endParaRPr lang="pt-BR" sz="12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  <a:latin typeface="+mn-lt"/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</xdr:colOff>
      <xdr:row>4</xdr:row>
      <xdr:rowOff>19052</xdr:rowOff>
    </xdr:from>
    <xdr:ext cx="8191501" cy="523873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8574" y="781052"/>
          <a:ext cx="8191501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"Nomeie" a célula B3 com o nome "total".</a:t>
          </a: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1</xdr:col>
      <xdr:colOff>733425</xdr:colOff>
      <xdr:row>1</xdr:row>
      <xdr:rowOff>66675</xdr:rowOff>
    </xdr:from>
    <xdr:ext cx="2943225" cy="530658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343025" y="257175"/>
          <a:ext cx="2943225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a.</a:t>
          </a:r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Caixa de nomes</a:t>
          </a:r>
        </a:p>
      </xdr:txBody>
    </xdr:sp>
    <xdr:clientData/>
  </xdr:oneCellAnchor>
  <xdr:oneCellAnchor>
    <xdr:from>
      <xdr:col>1</xdr:col>
      <xdr:colOff>171450</xdr:colOff>
      <xdr:row>9</xdr:row>
      <xdr:rowOff>57150</xdr:rowOff>
    </xdr:from>
    <xdr:ext cx="4438650" cy="530658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781050" y="1771650"/>
          <a:ext cx="443865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b.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</a:t>
          </a:r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Barra de fórmulas</a:t>
          </a:r>
        </a:p>
      </xdr:txBody>
    </xdr:sp>
    <xdr:clientData/>
  </xdr:oneCellAnchor>
  <xdr:oneCellAnchor>
    <xdr:from>
      <xdr:col>0</xdr:col>
      <xdr:colOff>28575</xdr:colOff>
      <xdr:row>11</xdr:row>
      <xdr:rowOff>161925</xdr:rowOff>
    </xdr:from>
    <xdr:ext cx="8191501" cy="723900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28575" y="2257425"/>
          <a:ext cx="8191501" cy="7239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Na célula C18 e C21 observamos o mesmo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resultado, porém, veja a diferança ao olharmos na barra de fórmulas: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4</xdr:col>
      <xdr:colOff>57150</xdr:colOff>
      <xdr:row>16</xdr:row>
      <xdr:rowOff>9526</xdr:rowOff>
    </xdr:from>
    <xdr:to>
      <xdr:col>8</xdr:col>
      <xdr:colOff>76200</xdr:colOff>
      <xdr:row>18</xdr:row>
      <xdr:rowOff>138562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28950" y="4200526"/>
          <a:ext cx="2457450" cy="51003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95251</xdr:colOff>
      <xdr:row>19</xdr:row>
      <xdr:rowOff>152401</xdr:rowOff>
    </xdr:from>
    <xdr:to>
      <xdr:col>8</xdr:col>
      <xdr:colOff>133351</xdr:colOff>
      <xdr:row>22</xdr:row>
      <xdr:rowOff>43799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67051" y="3771901"/>
          <a:ext cx="2476500" cy="46289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3</xdr:row>
      <xdr:rowOff>142875</xdr:rowOff>
    </xdr:from>
    <xdr:ext cx="4438650" cy="530658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3657600" y="714375"/>
          <a:ext cx="443865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Importância do ESC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</xdr:colOff>
      <xdr:row>7</xdr:row>
      <xdr:rowOff>85727</xdr:rowOff>
    </xdr:from>
    <xdr:ext cx="4848226" cy="523873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28574" y="1419227"/>
          <a:ext cx="4848226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Uma conta ou expressão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matemática</a:t>
          </a:r>
        </a:p>
      </xdr:txBody>
    </xdr:sp>
    <xdr:clientData/>
  </xdr:oneCellAnchor>
  <xdr:oneCellAnchor>
    <xdr:from>
      <xdr:col>4</xdr:col>
      <xdr:colOff>219075</xdr:colOff>
      <xdr:row>3</xdr:row>
      <xdr:rowOff>142875</xdr:rowOff>
    </xdr:from>
    <xdr:ext cx="4438650" cy="530658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190875" y="714375"/>
          <a:ext cx="443865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</a:t>
          </a:r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Introdução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ao igual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57151</xdr:colOff>
      <xdr:row>14</xdr:row>
      <xdr:rowOff>38100</xdr:rowOff>
    </xdr:from>
    <xdr:ext cx="3571874" cy="466725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57151" y="2705100"/>
          <a:ext cx="3571874" cy="46672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effectLst>
                <a:outerShdw blurRad="50038" dist="50800" dir="7500000" algn="tl" rotWithShape="0">
                  <a:srgbClr val="000000">
                    <a:shade val="5000"/>
                    <a:alpha val="35000"/>
                  </a:srgbClr>
                </a:outerShdw>
              </a:effectLst>
              <a:latin typeface="+mn-lt"/>
              <a:ea typeface="+mn-ea"/>
              <a:cs typeface="+mn-cs"/>
            </a:rPr>
            <a:t>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Escrever uma fórmula</a:t>
          </a:r>
        </a:p>
      </xdr:txBody>
    </xdr:sp>
    <xdr:clientData/>
  </xdr:oneCellAnchor>
  <xdr:twoCellAnchor editAs="oneCell">
    <xdr:from>
      <xdr:col>5</xdr:col>
      <xdr:colOff>447675</xdr:colOff>
      <xdr:row>7</xdr:row>
      <xdr:rowOff>171450</xdr:rowOff>
    </xdr:from>
    <xdr:to>
      <xdr:col>7</xdr:col>
      <xdr:colOff>352425</xdr:colOff>
      <xdr:row>9</xdr:row>
      <xdr:rowOff>95250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00000000-0008-0000-0A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95800" y="1504950"/>
          <a:ext cx="1123950" cy="3048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295275</xdr:colOff>
      <xdr:row>17</xdr:row>
      <xdr:rowOff>95250</xdr:rowOff>
    </xdr:from>
    <xdr:to>
      <xdr:col>6</xdr:col>
      <xdr:colOff>352425</xdr:colOff>
      <xdr:row>22</xdr:row>
      <xdr:rowOff>38100</xdr:rowOff>
    </xdr:to>
    <xdr:pic>
      <xdr:nvPicPr>
        <xdr:cNvPr id="2054" name="Picture 6">
          <a:extLst>
            <a:ext uri="{FF2B5EF4-FFF2-40B4-BE49-F238E27FC236}">
              <a16:creationId xmlns:a16="http://schemas.microsoft.com/office/drawing/2014/main" id="{00000000-0008-0000-0A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76650" y="3524250"/>
          <a:ext cx="1276350" cy="8953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oneCellAnchor>
    <xdr:from>
      <xdr:col>0</xdr:col>
      <xdr:colOff>9525</xdr:colOff>
      <xdr:row>23</xdr:row>
      <xdr:rowOff>133350</xdr:rowOff>
    </xdr:from>
    <xdr:ext cx="3829050" cy="466725"/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9525" y="4514850"/>
          <a:ext cx="3829050" cy="46672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Criar vínculo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s - entre células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47625</xdr:colOff>
      <xdr:row>25</xdr:row>
      <xdr:rowOff>76200</xdr:rowOff>
    </xdr:from>
    <xdr:ext cx="3829050" cy="466725"/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47625" y="4838700"/>
          <a:ext cx="3829050" cy="46672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Na célula</a:t>
          </a:r>
          <a:r>
            <a:rPr lang="pt-BR" sz="14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C32 d</a:t>
          </a: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igite = e selecione a célula B30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4</xdr:col>
      <xdr:colOff>219075</xdr:colOff>
      <xdr:row>27</xdr:row>
      <xdr:rowOff>114300</xdr:rowOff>
    </xdr:from>
    <xdr:to>
      <xdr:col>7</xdr:col>
      <xdr:colOff>514350</xdr:colOff>
      <xdr:row>34</xdr:row>
      <xdr:rowOff>66675</xdr:rowOff>
    </xdr:to>
    <xdr:pic>
      <xdr:nvPicPr>
        <xdr:cNvPr id="2056" name="Picture 8">
          <a:extLst>
            <a:ext uri="{FF2B5EF4-FFF2-40B4-BE49-F238E27FC236}">
              <a16:creationId xmlns:a16="http://schemas.microsoft.com/office/drawing/2014/main" id="{00000000-0008-0000-0A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657600" y="5257800"/>
          <a:ext cx="2124075" cy="12858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oneCellAnchor>
    <xdr:from>
      <xdr:col>0</xdr:col>
      <xdr:colOff>47625</xdr:colOff>
      <xdr:row>43</xdr:row>
      <xdr:rowOff>66675</xdr:rowOff>
    </xdr:from>
    <xdr:ext cx="3829050" cy="466725"/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47625" y="6734175"/>
          <a:ext cx="3829050" cy="46672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Criar vínculo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s - entre planilhas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104774</xdr:colOff>
      <xdr:row>45</xdr:row>
      <xdr:rowOff>85726</xdr:rowOff>
    </xdr:from>
    <xdr:ext cx="4752975" cy="342900"/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104774" y="7134226"/>
          <a:ext cx="4752975" cy="3429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Na célula</a:t>
          </a:r>
          <a:r>
            <a:rPr lang="pt-BR" sz="14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C42 d</a:t>
          </a: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igite = e selecione C9</a:t>
          </a:r>
          <a:r>
            <a:rPr lang="pt-BR" sz="14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da planilha "Vinculo"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95249</xdr:colOff>
      <xdr:row>34</xdr:row>
      <xdr:rowOff>152400</xdr:rowOff>
    </xdr:from>
    <xdr:ext cx="5962651" cy="466725"/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95249" y="6629400"/>
          <a:ext cx="5962651" cy="46672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Criar contas matemáticas com outras células</a:t>
          </a:r>
        </a:p>
      </xdr:txBody>
    </xdr:sp>
    <xdr:clientData/>
  </xdr:oneCellAnchor>
  <xdr:twoCellAnchor editAs="oneCell">
    <xdr:from>
      <xdr:col>2</xdr:col>
      <xdr:colOff>647700</xdr:colOff>
      <xdr:row>37</xdr:row>
      <xdr:rowOff>66675</xdr:rowOff>
    </xdr:from>
    <xdr:to>
      <xdr:col>3</xdr:col>
      <xdr:colOff>875665</xdr:colOff>
      <xdr:row>41</xdr:row>
      <xdr:rowOff>113665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209800" y="7115175"/>
          <a:ext cx="1218565" cy="82804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219075</xdr:colOff>
      <xdr:row>3</xdr:row>
      <xdr:rowOff>142875</xdr:rowOff>
    </xdr:from>
    <xdr:ext cx="4438650" cy="530658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3657600" y="714375"/>
          <a:ext cx="443865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Vínculo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entre planilhas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704850</xdr:colOff>
      <xdr:row>3</xdr:row>
      <xdr:rowOff>95250</xdr:rowOff>
    </xdr:from>
    <xdr:ext cx="4438650" cy="530658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4114800" y="666750"/>
          <a:ext cx="443865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</a:t>
          </a:r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Vínculo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entre Nomes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161924</xdr:colOff>
      <xdr:row>9</xdr:row>
      <xdr:rowOff>85727</xdr:rowOff>
    </xdr:from>
    <xdr:ext cx="1790701" cy="523873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61924" y="1800227"/>
          <a:ext cx="1790701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Faça a conta: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1</xdr:col>
      <xdr:colOff>200025</xdr:colOff>
      <xdr:row>3</xdr:row>
      <xdr:rowOff>152400</xdr:rowOff>
    </xdr:from>
    <xdr:ext cx="9982200" cy="561975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200025" y="723900"/>
          <a:ext cx="9982200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Operações Básicas</a:t>
          </a:r>
          <a:b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</a:b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(Soma, Subtração, Divisão e Multiplicação)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1</xdr:col>
      <xdr:colOff>0</xdr:colOff>
      <xdr:row>15</xdr:row>
      <xdr:rowOff>0</xdr:rowOff>
    </xdr:from>
    <xdr:ext cx="1790701" cy="523873"/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/>
      </xdr:nvSpPr>
      <xdr:spPr>
        <a:xfrm>
          <a:off x="266700" y="3286125"/>
          <a:ext cx="1790701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2.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Agora faça: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3</xdr:col>
      <xdr:colOff>400050</xdr:colOff>
      <xdr:row>10</xdr:row>
      <xdr:rowOff>0</xdr:rowOff>
    </xdr:from>
    <xdr:to>
      <xdr:col>6</xdr:col>
      <xdr:colOff>285750</xdr:colOff>
      <xdr:row>12</xdr:row>
      <xdr:rowOff>152400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0D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85950" y="1905000"/>
          <a:ext cx="1714500" cy="5334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314325</xdr:colOff>
      <xdr:row>15</xdr:row>
      <xdr:rowOff>104775</xdr:rowOff>
    </xdr:from>
    <xdr:to>
      <xdr:col>7</xdr:col>
      <xdr:colOff>304800</xdr:colOff>
      <xdr:row>18</xdr:row>
      <xdr:rowOff>95250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D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00225" y="3171825"/>
          <a:ext cx="2428875" cy="561975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3</xdr:row>
      <xdr:rowOff>47625</xdr:rowOff>
    </xdr:from>
    <xdr:ext cx="3362325" cy="5619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4591050" y="638175"/>
          <a:ext cx="33623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</a:t>
          </a:r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Fórmula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SOMA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0</xdr:colOff>
      <xdr:row>2</xdr:row>
      <xdr:rowOff>171450</xdr:rowOff>
    </xdr:from>
    <xdr:ext cx="2152650" cy="523873"/>
    <xdr:sp macro="" textlink="">
      <xdr:nvSpPr>
        <xdr:cNvPr id="4" name="Texto explicativo retangular com cantos arredondados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0" y="561975"/>
          <a:ext cx="2152650" cy="523873"/>
        </a:xfrm>
        <a:prstGeom prst="wedgeRoundRectCallout">
          <a:avLst>
            <a:gd name="adj1" fmla="val 111910"/>
            <a:gd name="adj2" fmla="val -28409"/>
            <a:gd name="adj3" fmla="val 16667"/>
          </a:avLst>
        </a:prstGeom>
        <a:noFill/>
        <a:ln>
          <a:solidFill>
            <a:sysClr val="windowText" lastClr="000000"/>
          </a:solidFill>
        </a:ln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1.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Faça a SOMA: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5</xdr:col>
      <xdr:colOff>76200</xdr:colOff>
      <xdr:row>22</xdr:row>
      <xdr:rowOff>19050</xdr:rowOff>
    </xdr:from>
    <xdr:ext cx="3362325" cy="561975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3886200" y="4248150"/>
          <a:ext cx="33623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Botão Auto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SOMA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0</xdr:colOff>
      <xdr:row>25</xdr:row>
      <xdr:rowOff>0</xdr:rowOff>
    </xdr:from>
    <xdr:ext cx="5610226" cy="523873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266699" y="5181600"/>
          <a:ext cx="5610226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2.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Faça a SOMA usando o botão AutoSOMA: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504825</xdr:colOff>
      <xdr:row>8</xdr:row>
      <xdr:rowOff>123826</xdr:rowOff>
    </xdr:from>
    <xdr:ext cx="2257425" cy="628650"/>
    <xdr:sp macro="" textlink="">
      <xdr:nvSpPr>
        <xdr:cNvPr id="7" name="Texto explicativo retangular com cantos arredondados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6143625" y="1666876"/>
          <a:ext cx="2257425" cy="628650"/>
        </a:xfrm>
        <a:prstGeom prst="wedgeRoundRectCallout">
          <a:avLst>
            <a:gd name="adj1" fmla="val -65907"/>
            <a:gd name="adj2" fmla="val -17501"/>
            <a:gd name="adj3" fmla="val 16667"/>
          </a:avLst>
        </a:prstGeom>
        <a:noFill/>
        <a:ln>
          <a:solidFill>
            <a:sysClr val="windowText" lastClr="000000"/>
          </a:solidFill>
        </a:ln>
      </xdr:spPr>
      <xdr:txBody>
        <a:bodyPr wrap="square" lIns="91440" tIns="45720" rIns="91440" bIns="45720" anchor="ctr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2.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Somando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vários  intervalos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371475</xdr:colOff>
      <xdr:row>3</xdr:row>
      <xdr:rowOff>180975</xdr:rowOff>
    </xdr:from>
    <xdr:ext cx="4333875" cy="5619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3867150" y="752475"/>
          <a:ext cx="433387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Formatação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- Bordas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66674</xdr:colOff>
      <xdr:row>7</xdr:row>
      <xdr:rowOff>171450</xdr:rowOff>
    </xdr:from>
    <xdr:ext cx="7362825" cy="523873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66674" y="1504950"/>
          <a:ext cx="7362825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Coloque uma borda pontilhada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e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cor vermelha,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conforme figura:</a:t>
          </a: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11</xdr:col>
      <xdr:colOff>38101</xdr:colOff>
      <xdr:row>7</xdr:row>
      <xdr:rowOff>76200</xdr:rowOff>
    </xdr:from>
    <xdr:to>
      <xdr:col>14</xdr:col>
      <xdr:colOff>19051</xdr:colOff>
      <xdr:row>12</xdr:row>
      <xdr:rowOff>62317</xdr:rowOff>
    </xdr:to>
    <xdr:pic>
      <xdr:nvPicPr>
        <xdr:cNvPr id="5122" name="Picture 2">
          <a:extLst>
            <a:ext uri="{FF2B5EF4-FFF2-40B4-BE49-F238E27FC236}">
              <a16:creationId xmlns:a16="http://schemas.microsoft.com/office/drawing/2014/main" id="{00000000-0008-0000-0F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91376" y="1409700"/>
          <a:ext cx="2190750" cy="98624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628650</xdr:colOff>
      <xdr:row>3</xdr:row>
      <xdr:rowOff>180975</xdr:rowOff>
    </xdr:from>
    <xdr:ext cx="3362325" cy="5619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1238250" y="752475"/>
          <a:ext cx="33623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 </a:t>
          </a:r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Altura e largura</a:t>
          </a:r>
        </a:p>
      </xdr:txBody>
    </xdr:sp>
    <xdr:clientData/>
  </xdr:oneCellAnchor>
  <xdr:oneCellAnchor>
    <xdr:from>
      <xdr:col>0</xdr:col>
      <xdr:colOff>66674</xdr:colOff>
      <xdr:row>7</xdr:row>
      <xdr:rowOff>57150</xdr:rowOff>
    </xdr:from>
    <xdr:ext cx="10715626" cy="523873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66674" y="1390650"/>
          <a:ext cx="10715626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Aumente a largura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da coluna e altura da linha para que a palavra caiba dentro da célula:</a:t>
          </a:r>
        </a:p>
      </xdr:txBody>
    </xdr:sp>
    <xdr:clientData/>
  </xdr:oneCellAnchor>
  <xdr:oneCellAnchor>
    <xdr:from>
      <xdr:col>0</xdr:col>
      <xdr:colOff>28575</xdr:colOff>
      <xdr:row>13</xdr:row>
      <xdr:rowOff>142875</xdr:rowOff>
    </xdr:from>
    <xdr:ext cx="10715626" cy="523873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28575" y="2619375"/>
          <a:ext cx="10715626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2.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Deixe a frase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dentro da célula B19, mas não aumente a largura da coluna:</a:t>
          </a:r>
        </a:p>
      </xdr:txBody>
    </xdr:sp>
    <xdr:clientData/>
  </xdr:oneCellAnchor>
  <xdr:oneCellAnchor>
    <xdr:from>
      <xdr:col>0</xdr:col>
      <xdr:colOff>28575</xdr:colOff>
      <xdr:row>21</xdr:row>
      <xdr:rowOff>57150</xdr:rowOff>
    </xdr:from>
    <xdr:ext cx="10715626" cy="523873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28575" y="2724150"/>
          <a:ext cx="10715626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3.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Deixe a frase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dentro da célula B19, mas não aumente a largura da coluna e nem a altura da linha:</a:t>
          </a: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0</xdr:colOff>
      <xdr:row>27</xdr:row>
      <xdr:rowOff>85726</xdr:rowOff>
    </xdr:from>
    <xdr:ext cx="10715626" cy="419100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0" y="5562601"/>
          <a:ext cx="10715626" cy="4191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4.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Quebre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o texto manualmente com o atalho "Alt + ENTER":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3</xdr:row>
      <xdr:rowOff>161925</xdr:rowOff>
    </xdr:from>
    <xdr:ext cx="5848350" cy="561975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/>
      </xdr:nvSpPr>
      <xdr:spPr>
        <a:xfrm>
          <a:off x="3238500" y="733425"/>
          <a:ext cx="5848350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Mesclar células</a:t>
          </a:r>
        </a:p>
      </xdr:txBody>
    </xdr:sp>
    <xdr:clientData/>
  </xdr:oneCellAnchor>
  <xdr:oneCellAnchor>
    <xdr:from>
      <xdr:col>0</xdr:col>
      <xdr:colOff>114299</xdr:colOff>
      <xdr:row>6</xdr:row>
      <xdr:rowOff>66675</xdr:rowOff>
    </xdr:from>
    <xdr:ext cx="4905375" cy="523873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/>
      </xdr:nvSpPr>
      <xdr:spPr>
        <a:xfrm>
          <a:off x="114299" y="1209675"/>
          <a:ext cx="4905375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Mesclar as células B12 até D12 de forma que o título fique no centro da tabela: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85725</xdr:colOff>
      <xdr:row>17</xdr:row>
      <xdr:rowOff>171451</xdr:rowOff>
    </xdr:from>
    <xdr:ext cx="6296025" cy="380999"/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>
        <a:xfrm>
          <a:off x="85725" y="3419476"/>
          <a:ext cx="6296025" cy="38099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2.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Mesclar as células dos produtos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9</xdr:col>
      <xdr:colOff>0</xdr:colOff>
      <xdr:row>8</xdr:row>
      <xdr:rowOff>0</xdr:rowOff>
    </xdr:from>
    <xdr:ext cx="6296025" cy="380999"/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/>
      </xdr:nvSpPr>
      <xdr:spPr>
        <a:xfrm>
          <a:off x="6305550" y="1524000"/>
          <a:ext cx="6296025" cy="38099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3.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Mesclar Através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800100</xdr:colOff>
      <xdr:row>3</xdr:row>
      <xdr:rowOff>123825</xdr:rowOff>
    </xdr:from>
    <xdr:ext cx="3362325" cy="5619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3124200" y="695325"/>
          <a:ext cx="33623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Cores</a:t>
          </a:r>
        </a:p>
      </xdr:txBody>
    </xdr:sp>
    <xdr:clientData/>
  </xdr:oneCellAnchor>
  <xdr:oneCellAnchor>
    <xdr:from>
      <xdr:col>0</xdr:col>
      <xdr:colOff>66674</xdr:colOff>
      <xdr:row>7</xdr:row>
      <xdr:rowOff>171450</xdr:rowOff>
    </xdr:from>
    <xdr:ext cx="5572126" cy="523873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66674" y="1504950"/>
          <a:ext cx="5572126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Formate o cabeçalho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da tabela conforme figura:</a:t>
          </a:r>
        </a:p>
      </xdr:txBody>
    </xdr:sp>
    <xdr:clientData/>
  </xdr:oneCellAnchor>
  <xdr:twoCellAnchor editAs="oneCell">
    <xdr:from>
      <xdr:col>7</xdr:col>
      <xdr:colOff>552450</xdr:colOff>
      <xdr:row>7</xdr:row>
      <xdr:rowOff>85725</xdr:rowOff>
    </xdr:from>
    <xdr:to>
      <xdr:col>10</xdr:col>
      <xdr:colOff>1019175</xdr:colOff>
      <xdr:row>11</xdr:row>
      <xdr:rowOff>324338</xdr:rowOff>
    </xdr:to>
    <xdr:pic>
      <xdr:nvPicPr>
        <xdr:cNvPr id="7170" name="Picture 2">
          <a:extLst>
            <a:ext uri="{FF2B5EF4-FFF2-40B4-BE49-F238E27FC236}">
              <a16:creationId xmlns:a16="http://schemas.microsoft.com/office/drawing/2014/main" id="{00000000-0008-0000-1200-00000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24500" y="1419225"/>
          <a:ext cx="2295525" cy="100061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oneCellAnchor>
    <xdr:from>
      <xdr:col>0</xdr:col>
      <xdr:colOff>0</xdr:colOff>
      <xdr:row>15</xdr:row>
      <xdr:rowOff>47626</xdr:rowOff>
    </xdr:from>
    <xdr:ext cx="9134476" cy="381000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0" y="3057526"/>
          <a:ext cx="9134476" cy="3810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2.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Retire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a cor verde do cabaçalho da tabela abaixo:</a:t>
          </a:r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800100</xdr:colOff>
      <xdr:row>3</xdr:row>
      <xdr:rowOff>123825</xdr:rowOff>
    </xdr:from>
    <xdr:ext cx="3362325" cy="5619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3124200" y="695325"/>
          <a:ext cx="33623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Pincel</a:t>
          </a:r>
        </a:p>
      </xdr:txBody>
    </xdr:sp>
    <xdr:clientData/>
  </xdr:oneCellAnchor>
  <xdr:oneCellAnchor>
    <xdr:from>
      <xdr:col>0</xdr:col>
      <xdr:colOff>66673</xdr:colOff>
      <xdr:row>7</xdr:row>
      <xdr:rowOff>171450</xdr:rowOff>
    </xdr:from>
    <xdr:ext cx="9791701" cy="523873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66673" y="1504950"/>
          <a:ext cx="9791701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Utilizando o pincel,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copie a formatação da tabela para a célula G12:</a:t>
          </a: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3</xdr:row>
      <xdr:rowOff>161925</xdr:rowOff>
    </xdr:from>
    <xdr:ext cx="3362325" cy="5619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2895600" y="733425"/>
          <a:ext cx="33623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Números</a:t>
          </a:r>
        </a:p>
      </xdr:txBody>
    </xdr:sp>
    <xdr:clientData/>
  </xdr:oneCellAnchor>
  <xdr:oneCellAnchor>
    <xdr:from>
      <xdr:col>0</xdr:col>
      <xdr:colOff>66674</xdr:colOff>
      <xdr:row>7</xdr:row>
      <xdr:rowOff>171450</xdr:rowOff>
    </xdr:from>
    <xdr:ext cx="8505826" cy="523873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66674" y="1504950"/>
          <a:ext cx="8505826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Formate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a tabela 01 em modo "Moeda" e a tabela 02 em modo "Contábil":</a:t>
          </a:r>
        </a:p>
      </xdr:txBody>
    </xdr:sp>
    <xdr:clientData/>
  </xdr:oneCellAnchor>
  <xdr:oneCellAnchor>
    <xdr:from>
      <xdr:col>0</xdr:col>
      <xdr:colOff>19050</xdr:colOff>
      <xdr:row>17</xdr:row>
      <xdr:rowOff>47626</xdr:rowOff>
    </xdr:from>
    <xdr:ext cx="9391650" cy="609600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19050" y="3571876"/>
          <a:ext cx="9391650" cy="6096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2.  </a:t>
          </a: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Formate as células abaixo para que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os números negativos apareçam em vermelho e com o sinal negativo: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3</xdr:row>
      <xdr:rowOff>161925</xdr:rowOff>
    </xdr:from>
    <xdr:ext cx="4886325" cy="5619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2400300" y="733425"/>
          <a:ext cx="48863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Formatação personalizada</a:t>
          </a:r>
        </a:p>
      </xdr:txBody>
    </xdr:sp>
    <xdr:clientData/>
  </xdr:oneCellAnchor>
  <xdr:oneCellAnchor>
    <xdr:from>
      <xdr:col>0</xdr:col>
      <xdr:colOff>66674</xdr:colOff>
      <xdr:row>7</xdr:row>
      <xdr:rowOff>28575</xdr:rowOff>
    </xdr:from>
    <xdr:ext cx="7905751" cy="523873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6674" y="1362075"/>
          <a:ext cx="7905751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Formate o número abaixo em "formato CNPJ : </a:t>
          </a:r>
          <a:r>
            <a:rPr lang="pt-BR" sz="24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rgbClr val="FF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00.000.000/0000-00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3</xdr:row>
      <xdr:rowOff>161925</xdr:rowOff>
    </xdr:from>
    <xdr:ext cx="6553200" cy="5619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2400300" y="733425"/>
          <a:ext cx="6553200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Formatação de números como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texto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66674</xdr:colOff>
      <xdr:row>7</xdr:row>
      <xdr:rowOff>171450</xdr:rowOff>
    </xdr:from>
    <xdr:ext cx="7905751" cy="523873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66674" y="1504950"/>
          <a:ext cx="7905751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Formate os números abaixo como texto: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1</xdr:col>
      <xdr:colOff>590551</xdr:colOff>
      <xdr:row>10</xdr:row>
      <xdr:rowOff>38101</xdr:rowOff>
    </xdr:from>
    <xdr:ext cx="942974" cy="361950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1200151" y="1943101"/>
          <a:ext cx="942974" cy="36195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rgbClr val="FF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0023</a:t>
          </a:r>
          <a:endParaRPr lang="pt-BR" sz="32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1</xdr:col>
      <xdr:colOff>590551</xdr:colOff>
      <xdr:row>15</xdr:row>
      <xdr:rowOff>38101</xdr:rowOff>
    </xdr:from>
    <xdr:ext cx="942974" cy="361950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/>
      </xdr:nvSpPr>
      <xdr:spPr>
        <a:xfrm>
          <a:off x="1200151" y="2943226"/>
          <a:ext cx="942974" cy="36195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rgbClr val="FF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0654</a:t>
          </a:r>
          <a:endParaRPr lang="pt-BR" sz="32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5</xdr:col>
      <xdr:colOff>371475</xdr:colOff>
      <xdr:row>10</xdr:row>
      <xdr:rowOff>38101</xdr:rowOff>
    </xdr:from>
    <xdr:ext cx="1219199" cy="361950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/>
      </xdr:nvSpPr>
      <xdr:spPr>
        <a:xfrm>
          <a:off x="3419475" y="1943101"/>
          <a:ext cx="1219199" cy="36195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rgbClr val="FF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000152</a:t>
          </a:r>
          <a:endParaRPr lang="pt-BR" sz="32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5</xdr:col>
      <xdr:colOff>428626</xdr:colOff>
      <xdr:row>15</xdr:row>
      <xdr:rowOff>38101</xdr:rowOff>
    </xdr:from>
    <xdr:ext cx="942974" cy="361950"/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>
        <a:xfrm>
          <a:off x="3476626" y="2943226"/>
          <a:ext cx="942974" cy="36195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rgbClr val="FF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00987</a:t>
          </a:r>
          <a:endParaRPr lang="pt-BR" sz="32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1057275</xdr:colOff>
      <xdr:row>3</xdr:row>
      <xdr:rowOff>161925</xdr:rowOff>
    </xdr:from>
    <xdr:ext cx="5848350" cy="5619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1666875" y="733425"/>
          <a:ext cx="5848350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Formatação de Datas</a:t>
          </a:r>
        </a:p>
      </xdr:txBody>
    </xdr:sp>
    <xdr:clientData/>
  </xdr:oneCellAnchor>
  <xdr:oneCellAnchor>
    <xdr:from>
      <xdr:col>0</xdr:col>
      <xdr:colOff>66674</xdr:colOff>
      <xdr:row>20</xdr:row>
      <xdr:rowOff>171450</xdr:rowOff>
    </xdr:from>
    <xdr:ext cx="7905751" cy="523873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66674" y="1504950"/>
          <a:ext cx="7905751" cy="52387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Quantos dias faltam para o inicio das OLIMPÍADAS DE 2016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9525</xdr:colOff>
      <xdr:row>38</xdr:row>
      <xdr:rowOff>9526</xdr:rowOff>
    </xdr:from>
    <xdr:ext cx="5105399" cy="438150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9525" y="7086601"/>
          <a:ext cx="5105399" cy="43815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3.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Quantos sua idade em dias?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0</xdr:colOff>
      <xdr:row>29</xdr:row>
      <xdr:rowOff>1</xdr:rowOff>
    </xdr:from>
    <xdr:ext cx="6905625" cy="723900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/>
      </xdr:nvSpPr>
      <xdr:spPr>
        <a:xfrm>
          <a:off x="0" y="5343526"/>
          <a:ext cx="6905625" cy="7239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2.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Vou ser o técnico de um time de futebol e preciso chegar 100 dias antes do início das olimpíadas. Qual dia devo chegar?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0</xdr:colOff>
      <xdr:row>45</xdr:row>
      <xdr:rowOff>28575</xdr:rowOff>
    </xdr:from>
    <xdr:ext cx="5105399" cy="438150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/>
      </xdr:nvSpPr>
      <xdr:spPr>
        <a:xfrm>
          <a:off x="0" y="8458200"/>
          <a:ext cx="5105399" cy="43815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4.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Atenção especial aos formatos: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419100</xdr:colOff>
      <xdr:row>3</xdr:row>
      <xdr:rowOff>76200</xdr:rowOff>
    </xdr:from>
    <xdr:ext cx="2838450" cy="5619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1028700" y="647700"/>
          <a:ext cx="2838450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Copiar</a:t>
          </a:r>
        </a:p>
      </xdr:txBody>
    </xdr:sp>
    <xdr:clientData/>
  </xdr:oneCellAnchor>
  <xdr:oneCellAnchor>
    <xdr:from>
      <xdr:col>0</xdr:col>
      <xdr:colOff>57148</xdr:colOff>
      <xdr:row>6</xdr:row>
      <xdr:rowOff>47625</xdr:rowOff>
    </xdr:from>
    <xdr:ext cx="4905377" cy="457200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57148" y="1190625"/>
          <a:ext cx="4905377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Copiar o "B12" para a célula D15 e "D12" para a célula D18: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28575</xdr:colOff>
      <xdr:row>18</xdr:row>
      <xdr:rowOff>152400</xdr:rowOff>
    </xdr:from>
    <xdr:ext cx="7867652" cy="457200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/>
      </xdr:nvSpPr>
      <xdr:spPr>
        <a:xfrm>
          <a:off x="28575" y="3724275"/>
          <a:ext cx="7867652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2.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Copiar o "C29" para as célulaS D29, E29 e F29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419100</xdr:colOff>
      <xdr:row>3</xdr:row>
      <xdr:rowOff>76200</xdr:rowOff>
    </xdr:from>
    <xdr:ext cx="2838450" cy="561975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/>
      </xdr:nvSpPr>
      <xdr:spPr>
        <a:xfrm>
          <a:off x="1028700" y="647700"/>
          <a:ext cx="2838450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Recortar</a:t>
          </a:r>
        </a:p>
      </xdr:txBody>
    </xdr:sp>
    <xdr:clientData/>
  </xdr:oneCellAnchor>
  <xdr:oneCellAnchor>
    <xdr:from>
      <xdr:col>7</xdr:col>
      <xdr:colOff>57148</xdr:colOff>
      <xdr:row>6</xdr:row>
      <xdr:rowOff>47625</xdr:rowOff>
    </xdr:from>
    <xdr:ext cx="4905377" cy="457200"/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/>
      </xdr:nvSpPr>
      <xdr:spPr>
        <a:xfrm>
          <a:off x="57148" y="1190625"/>
          <a:ext cx="4905377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Recortar o "I12" para a célula K15 e "K12" para a célula K18: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3</xdr:row>
      <xdr:rowOff>104775</xdr:rowOff>
    </xdr:from>
    <xdr:ext cx="2838450" cy="5619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2314575" y="676275"/>
          <a:ext cx="2838450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Arrastar</a:t>
          </a:r>
        </a:p>
      </xdr:txBody>
    </xdr:sp>
    <xdr:clientData/>
  </xdr:oneCellAnchor>
  <xdr:oneCellAnchor>
    <xdr:from>
      <xdr:col>0</xdr:col>
      <xdr:colOff>0</xdr:colOff>
      <xdr:row>7</xdr:row>
      <xdr:rowOff>28575</xdr:rowOff>
    </xdr:from>
    <xdr:ext cx="3914775" cy="390525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0" y="1362075"/>
          <a:ext cx="3914775" cy="39052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Arraste e veja a sequência lógica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6</xdr:col>
      <xdr:colOff>333375</xdr:colOff>
      <xdr:row>3</xdr:row>
      <xdr:rowOff>38100</xdr:rowOff>
    </xdr:from>
    <xdr:to>
      <xdr:col>8</xdr:col>
      <xdr:colOff>38100</xdr:colOff>
      <xdr:row>6</xdr:row>
      <xdr:rowOff>171450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00000000-0008-0000-19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10125" y="609600"/>
          <a:ext cx="923925" cy="7048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oneCellAnchor>
    <xdr:from>
      <xdr:col>6</xdr:col>
      <xdr:colOff>0</xdr:colOff>
      <xdr:row>7</xdr:row>
      <xdr:rowOff>9525</xdr:rowOff>
    </xdr:from>
    <xdr:ext cx="5400675" cy="457200"/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/>
      </xdr:nvSpPr>
      <xdr:spPr>
        <a:xfrm>
          <a:off x="4476750" y="1343025"/>
          <a:ext cx="5400675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2.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Monte a tabuada do 1 ao 10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523874</xdr:colOff>
      <xdr:row>4</xdr:row>
      <xdr:rowOff>123825</xdr:rowOff>
    </xdr:from>
    <xdr:ext cx="4467225" cy="5619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6810374" y="885825"/>
          <a:ext cx="44672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Listas personalizadas</a:t>
          </a:r>
        </a:p>
      </xdr:txBody>
    </xdr:sp>
    <xdr:clientData/>
  </xdr:oneCellAnchor>
  <xdr:oneCellAnchor>
    <xdr:from>
      <xdr:col>0</xdr:col>
      <xdr:colOff>0</xdr:colOff>
      <xdr:row>7</xdr:row>
      <xdr:rowOff>38100</xdr:rowOff>
    </xdr:from>
    <xdr:ext cx="5400675" cy="457200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0" y="1371600"/>
          <a:ext cx="5400675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Arraste e veja a sequência das listas prontas: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523875</xdr:colOff>
      <xdr:row>7</xdr:row>
      <xdr:rowOff>38100</xdr:rowOff>
    </xdr:from>
    <xdr:ext cx="7915275" cy="457200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/>
      </xdr:nvSpPr>
      <xdr:spPr>
        <a:xfrm>
          <a:off x="5591175" y="1371600"/>
          <a:ext cx="7915275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2.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Monte uma lista personalizada (a, b, c, d, e, f, g...)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57150</xdr:colOff>
      <xdr:row>4</xdr:row>
      <xdr:rowOff>123825</xdr:rowOff>
    </xdr:from>
    <xdr:ext cx="4467225" cy="561975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SpPr/>
      </xdr:nvSpPr>
      <xdr:spPr>
        <a:xfrm>
          <a:off x="57150" y="885825"/>
          <a:ext cx="44672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Listas prontas</a:t>
          </a: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295276</xdr:colOff>
      <xdr:row>10</xdr:row>
      <xdr:rowOff>95249</xdr:rowOff>
    </xdr:from>
    <xdr:ext cx="2314574" cy="647701"/>
    <xdr:sp macro="" textlink="">
      <xdr:nvSpPr>
        <xdr:cNvPr id="4" name="Texto explicativo retangular com cantos arredondados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1114426" y="2028824"/>
          <a:ext cx="2314574" cy="647701"/>
        </a:xfrm>
        <a:prstGeom prst="wedgeRoundRectCallout">
          <a:avLst>
            <a:gd name="adj1" fmla="val 7562"/>
            <a:gd name="adj2" fmla="val -93382"/>
            <a:gd name="adj3" fmla="val 16667"/>
          </a:avLst>
        </a:prstGeom>
        <a:noFill/>
        <a:ln>
          <a:solidFill>
            <a:sysClr val="windowText" lastClr="000000"/>
          </a:solidFill>
        </a:ln>
      </xdr:spPr>
      <xdr:txBody>
        <a:bodyPr wrap="square" lIns="91440" tIns="45720" rIns="91440" bIns="45720"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18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Copie a célula C8 para a célula C9:</a:t>
          </a:r>
          <a:endParaRPr lang="pt-BR" sz="18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ctr"/>
          <a:endParaRPr lang="pt-BR" sz="18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5</xdr:col>
      <xdr:colOff>0</xdr:colOff>
      <xdr:row>3</xdr:row>
      <xdr:rowOff>104775</xdr:rowOff>
    </xdr:from>
    <xdr:ext cx="4467225" cy="561975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>
        <a:xfrm>
          <a:off x="5543550" y="676275"/>
          <a:ext cx="44672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Utilização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do Cifrão $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47625</xdr:rowOff>
    </xdr:from>
    <xdr:ext cx="9182100" cy="457200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0" y="1381125"/>
          <a:ext cx="9182100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Copie e cole a planilha abaixo na célula B17 utilizando o "Colar especial - valores":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123825</xdr:colOff>
      <xdr:row>5</xdr:row>
      <xdr:rowOff>28575</xdr:rowOff>
    </xdr:from>
    <xdr:ext cx="4467225" cy="561975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>
          <a:off x="123825" y="981075"/>
          <a:ext cx="44672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Colar especial - Valores</a:t>
          </a:r>
        </a:p>
      </xdr:txBody>
    </xdr:sp>
    <xdr:clientData/>
  </xdr:oneCellAnchor>
  <xdr:oneCellAnchor>
    <xdr:from>
      <xdr:col>0</xdr:col>
      <xdr:colOff>133350</xdr:colOff>
      <xdr:row>22</xdr:row>
      <xdr:rowOff>123825</xdr:rowOff>
    </xdr:from>
    <xdr:ext cx="4943475" cy="561975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>
        <a:xfrm>
          <a:off x="133350" y="4791075"/>
          <a:ext cx="494347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17.2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 </a:t>
          </a:r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Colar especial - Formatos</a:t>
          </a:r>
        </a:p>
      </xdr:txBody>
    </xdr:sp>
    <xdr:clientData/>
  </xdr:oneCellAnchor>
  <xdr:oneCellAnchor>
    <xdr:from>
      <xdr:col>0</xdr:col>
      <xdr:colOff>38099</xdr:colOff>
      <xdr:row>24</xdr:row>
      <xdr:rowOff>171450</xdr:rowOff>
    </xdr:from>
    <xdr:ext cx="10239375" cy="457200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/>
      </xdr:nvSpPr>
      <xdr:spPr>
        <a:xfrm>
          <a:off x="38099" y="5219700"/>
          <a:ext cx="10239375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Copie e cole a mesma planilha na célula B29 utilizando o "Colar especial - formatos":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0</xdr:colOff>
      <xdr:row>33</xdr:row>
      <xdr:rowOff>95250</xdr:rowOff>
    </xdr:from>
    <xdr:ext cx="6219825" cy="561975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SpPr/>
      </xdr:nvSpPr>
      <xdr:spPr>
        <a:xfrm>
          <a:off x="0" y="7096125"/>
          <a:ext cx="62198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17.3</a:t>
          </a:r>
          <a:r>
            <a:rPr lang="pt-BR" sz="20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</a:t>
          </a:r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Colar especial - Largura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da coluna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28574</xdr:colOff>
      <xdr:row>35</xdr:row>
      <xdr:rowOff>142875</xdr:rowOff>
    </xdr:from>
    <xdr:ext cx="10239375" cy="457200"/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/>
      </xdr:nvSpPr>
      <xdr:spPr>
        <a:xfrm>
          <a:off x="28574" y="7524750"/>
          <a:ext cx="10239375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Copie e cole a mesma planilha na célula F39 utilizando o "Colar especial - largura da coluna":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9525</xdr:colOff>
      <xdr:row>43</xdr:row>
      <xdr:rowOff>142875</xdr:rowOff>
    </xdr:from>
    <xdr:ext cx="5038725" cy="561975"/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SpPr/>
      </xdr:nvSpPr>
      <xdr:spPr>
        <a:xfrm>
          <a:off x="9525" y="9286875"/>
          <a:ext cx="50387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17.4</a:t>
          </a:r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</a:t>
          </a:r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Colar especial - Transpor</a:t>
          </a:r>
        </a:p>
      </xdr:txBody>
    </xdr:sp>
    <xdr:clientData/>
  </xdr:oneCellAnchor>
  <xdr:oneCellAnchor>
    <xdr:from>
      <xdr:col>0</xdr:col>
      <xdr:colOff>38099</xdr:colOff>
      <xdr:row>45</xdr:row>
      <xdr:rowOff>161925</xdr:rowOff>
    </xdr:from>
    <xdr:ext cx="10239375" cy="457200"/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SpPr/>
      </xdr:nvSpPr>
      <xdr:spPr>
        <a:xfrm>
          <a:off x="38099" y="9686925"/>
          <a:ext cx="10239375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Copie e cole a planilha abaixo na célula F39 utilizando o "Colar especial - transpor":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twoCellAnchor>
    <xdr:from>
      <xdr:col>0</xdr:col>
      <xdr:colOff>0</xdr:colOff>
      <xdr:row>15</xdr:row>
      <xdr:rowOff>95250</xdr:rowOff>
    </xdr:from>
    <xdr:to>
      <xdr:col>0</xdr:col>
      <xdr:colOff>1247775</xdr:colOff>
      <xdr:row>18</xdr:row>
      <xdr:rowOff>85725</xdr:rowOff>
    </xdr:to>
    <xdr:sp macro="" textlink="">
      <xdr:nvSpPr>
        <xdr:cNvPr id="11" name="Texto explicativo em elipse 10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SpPr/>
      </xdr:nvSpPr>
      <xdr:spPr>
        <a:xfrm>
          <a:off x="0" y="3190875"/>
          <a:ext cx="1247775" cy="657225"/>
        </a:xfrm>
        <a:prstGeom prst="wedgeEllipseCallout">
          <a:avLst>
            <a:gd name="adj1" fmla="val 80433"/>
            <a:gd name="adj2" fmla="val -17298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Célula</a:t>
          </a:r>
          <a:r>
            <a:rPr lang="pt-BR" sz="1100" baseline="0">
              <a:solidFill>
                <a:sysClr val="windowText" lastClr="000000"/>
              </a:solidFill>
            </a:rPr>
            <a:t> que será colada 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133350</xdr:colOff>
      <xdr:row>75</xdr:row>
      <xdr:rowOff>104775</xdr:rowOff>
    </xdr:from>
    <xdr:ext cx="5429250" cy="561975"/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SpPr/>
      </xdr:nvSpPr>
      <xdr:spPr>
        <a:xfrm>
          <a:off x="133350" y="16535400"/>
          <a:ext cx="5429250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17.5</a:t>
          </a:r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</a:t>
          </a:r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Colar especial - Multiplicação</a:t>
          </a:r>
        </a:p>
      </xdr:txBody>
    </xdr:sp>
    <xdr:clientData/>
  </xdr:oneCellAnchor>
  <xdr:twoCellAnchor>
    <xdr:from>
      <xdr:col>1</xdr:col>
      <xdr:colOff>0</xdr:colOff>
      <xdr:row>97</xdr:row>
      <xdr:rowOff>9525</xdr:rowOff>
    </xdr:from>
    <xdr:to>
      <xdr:col>1</xdr:col>
      <xdr:colOff>352425</xdr:colOff>
      <xdr:row>101</xdr:row>
      <xdr:rowOff>9525</xdr:rowOff>
    </xdr:to>
    <xdr:sp macro="" textlink="">
      <xdr:nvSpPr>
        <xdr:cNvPr id="13" name="Chave direita 1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SpPr/>
      </xdr:nvSpPr>
      <xdr:spPr>
        <a:xfrm>
          <a:off x="1619250" y="20212050"/>
          <a:ext cx="352425" cy="762000"/>
        </a:xfrm>
        <a:prstGeom prst="rightBrace">
          <a:avLst>
            <a:gd name="adj1" fmla="val 8333"/>
            <a:gd name="adj2" fmla="val 50000"/>
          </a:avLst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457200</xdr:colOff>
      <xdr:row>97</xdr:row>
      <xdr:rowOff>152400</xdr:rowOff>
    </xdr:from>
    <xdr:to>
      <xdr:col>3</xdr:col>
      <xdr:colOff>352425</xdr:colOff>
      <xdr:row>99</xdr:row>
      <xdr:rowOff>66675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SpPr txBox="1"/>
      </xdr:nvSpPr>
      <xdr:spPr>
        <a:xfrm>
          <a:off x="2076450" y="20354925"/>
          <a:ext cx="1724025" cy="295275"/>
        </a:xfrm>
        <a:prstGeom prst="round2Same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100"/>
            <a:t>Posteriores à </a:t>
          </a:r>
          <a:r>
            <a:rPr lang="pt-BR" sz="1100" b="1"/>
            <a:t>10/01/2012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914400</xdr:colOff>
      <xdr:row>0</xdr:row>
      <xdr:rowOff>66675</xdr:rowOff>
    </xdr:from>
    <xdr:ext cx="4467225" cy="561975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2800350" y="66675"/>
          <a:ext cx="44672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Ir Para -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Selecionar especial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76200</xdr:rowOff>
    </xdr:from>
    <xdr:ext cx="8534400" cy="381000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0" y="1409700"/>
          <a:ext cx="8534400" cy="3810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Insira uma linha entre as linhas 14 e 15 e uma coluna entre as colunas D e E: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123825</xdr:colOff>
      <xdr:row>5</xdr:row>
      <xdr:rowOff>28575</xdr:rowOff>
    </xdr:from>
    <xdr:ext cx="4467225" cy="561975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/>
      </xdr:nvSpPr>
      <xdr:spPr>
        <a:xfrm>
          <a:off x="123825" y="981075"/>
          <a:ext cx="44672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Inserir linhas e colunas</a:t>
          </a:r>
        </a:p>
      </xdr:txBody>
    </xdr:sp>
    <xdr:clientData/>
  </xdr:oneCellAnchor>
  <xdr:oneCellAnchor>
    <xdr:from>
      <xdr:col>0</xdr:col>
      <xdr:colOff>0</xdr:colOff>
      <xdr:row>18</xdr:row>
      <xdr:rowOff>95250</xdr:rowOff>
    </xdr:from>
    <xdr:ext cx="4543425" cy="371475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>
        <a:xfrm>
          <a:off x="0" y="3762375"/>
          <a:ext cx="4543425" cy="3714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2.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Exclua as linhas 24 e 25 e a coluna C 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123825</xdr:colOff>
      <xdr:row>15</xdr:row>
      <xdr:rowOff>161925</xdr:rowOff>
    </xdr:from>
    <xdr:ext cx="4467225" cy="561975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SpPr/>
      </xdr:nvSpPr>
      <xdr:spPr>
        <a:xfrm>
          <a:off x="123825" y="3257550"/>
          <a:ext cx="44672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Excluir linhas e colunas</a:t>
          </a:r>
        </a:p>
      </xdr:txBody>
    </xdr:sp>
    <xdr:clientData/>
  </xdr:oneCellAnchor>
  <xdr:oneCellAnchor>
    <xdr:from>
      <xdr:col>0</xdr:col>
      <xdr:colOff>0</xdr:colOff>
      <xdr:row>29</xdr:row>
      <xdr:rowOff>95250</xdr:rowOff>
    </xdr:from>
    <xdr:ext cx="5133975" cy="361950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SpPr/>
      </xdr:nvSpPr>
      <xdr:spPr>
        <a:xfrm>
          <a:off x="0" y="6096000"/>
          <a:ext cx="5133975" cy="36195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3.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Oculte as linhas 35 e 36 e as colunas C e D 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28575</xdr:colOff>
      <xdr:row>27</xdr:row>
      <xdr:rowOff>9525</xdr:rowOff>
    </xdr:from>
    <xdr:ext cx="4581525" cy="561975"/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/>
      </xdr:nvSpPr>
      <xdr:spPr>
        <a:xfrm>
          <a:off x="28575" y="5629275"/>
          <a:ext cx="45815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Ocultar linhas e colunas</a:t>
          </a:r>
        </a:p>
      </xdr:txBody>
    </xdr:sp>
    <xdr:clientData/>
  </xdr:oneCellAnchor>
  <xdr:oneCellAnchor>
    <xdr:from>
      <xdr:col>0</xdr:col>
      <xdr:colOff>466726</xdr:colOff>
      <xdr:row>39</xdr:row>
      <xdr:rowOff>104775</xdr:rowOff>
    </xdr:from>
    <xdr:ext cx="3352800" cy="361950"/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SpPr/>
      </xdr:nvSpPr>
      <xdr:spPr>
        <a:xfrm>
          <a:off x="466726" y="7867650"/>
          <a:ext cx="3352800" cy="36195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3.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Inserir linhas somente nesta tabela sem mexer na esturura da outra tabela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95250</xdr:rowOff>
    </xdr:from>
    <xdr:ext cx="5400675" cy="457200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>
          <a:off x="0" y="1428750"/>
          <a:ext cx="5400675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Pinte a célula B12 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257175</xdr:colOff>
      <xdr:row>3</xdr:row>
      <xdr:rowOff>104775</xdr:rowOff>
    </xdr:from>
    <xdr:ext cx="6819900" cy="561975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SpPr/>
      </xdr:nvSpPr>
      <xdr:spPr>
        <a:xfrm>
          <a:off x="257175" y="676275"/>
          <a:ext cx="6819900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Trabalhando com Grupo de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Planilhas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95250</xdr:rowOff>
    </xdr:from>
    <xdr:ext cx="5400675" cy="457200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/>
      </xdr:nvSpPr>
      <xdr:spPr>
        <a:xfrm>
          <a:off x="0" y="1428750"/>
          <a:ext cx="5400675" cy="4572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cap="none" spc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1.  </a:t>
          </a:r>
          <a:r>
            <a:rPr lang="pt-BR" sz="2000" b="1" cap="none" spc="0" baseline="0">
              <a:ln w="3175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Escreva o seu nome na célula C14:</a:t>
          </a:r>
          <a:endParaRPr lang="pt-BR" sz="2000" b="1" cap="none" spc="0" baseline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rgbClr val="FF0000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  <a:p>
          <a:pPr algn="l"/>
          <a:endParaRPr lang="pt-BR" sz="2000" b="1" cap="none" spc="0">
            <a:ln w="3175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257174</xdr:colOff>
      <xdr:row>3</xdr:row>
      <xdr:rowOff>104775</xdr:rowOff>
    </xdr:from>
    <xdr:ext cx="7134225" cy="561975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SpPr/>
      </xdr:nvSpPr>
      <xdr:spPr>
        <a:xfrm>
          <a:off x="257174" y="676275"/>
          <a:ext cx="7134225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2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Trabalhando com Grupo de</a:t>
          </a:r>
          <a:r>
            <a:rPr lang="pt-BR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Planilhas</a:t>
          </a:r>
          <a:endParaRPr lang="pt-BR" sz="28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RAN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Plan2"/>
      <sheetName val="Plan3"/>
    </sheetNames>
    <sheetDataSet>
      <sheetData sheetId="0">
        <row r="2">
          <cell r="A2">
            <v>200</v>
          </cell>
          <cell r="D2">
            <v>10</v>
          </cell>
        </row>
        <row r="3">
          <cell r="D3">
            <v>20</v>
          </cell>
        </row>
        <row r="4">
          <cell r="D4">
            <v>15</v>
          </cell>
        </row>
        <row r="5">
          <cell r="D5">
            <v>35</v>
          </cell>
        </row>
        <row r="6">
          <cell r="D6">
            <v>55</v>
          </cell>
        </row>
        <row r="7">
          <cell r="D7">
            <v>10</v>
          </cell>
        </row>
        <row r="8">
          <cell r="D8">
            <v>15</v>
          </cell>
        </row>
        <row r="9">
          <cell r="D9">
            <v>25</v>
          </cell>
        </row>
        <row r="10">
          <cell r="D10">
            <v>23</v>
          </cell>
        </row>
        <row r="11">
          <cell r="D11">
            <v>30</v>
          </cell>
        </row>
        <row r="12">
          <cell r="D12">
            <v>35</v>
          </cell>
        </row>
        <row r="13">
          <cell r="D13">
            <v>34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gado" refreshedDate="41085.777521296295" createdVersion="4" refreshedVersion="4" minRefreshableVersion="3" recordCount="14">
  <cacheSource type="worksheet">
    <worksheetSource ref="H2:K16" sheet="1-Novidades 2010"/>
  </cacheSource>
  <cacheFields count="4">
    <cacheField name="Produto" numFmtId="0">
      <sharedItems count="4">
        <s v="A"/>
        <s v="C"/>
        <s v="B"/>
        <s v="D"/>
      </sharedItems>
    </cacheField>
    <cacheField name="Região" numFmtId="0">
      <sharedItems count="4">
        <s v="SUL"/>
        <s v="LESTE"/>
        <s v="OESTE"/>
        <s v="NORTE"/>
      </sharedItems>
    </cacheField>
    <cacheField name="Qtde" numFmtId="0">
      <sharedItems containsSemiMixedTypes="0" containsString="0" containsNumber="1" containsInteger="1" minValue="0" maxValue="50"/>
    </cacheField>
    <cacheField name="Valor Unitário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0"/>
    <x v="0"/>
    <n v="10"/>
    <n v="1"/>
  </r>
  <r>
    <x v="1"/>
    <x v="1"/>
    <n v="20"/>
    <n v="2"/>
  </r>
  <r>
    <x v="2"/>
    <x v="1"/>
    <n v="20"/>
    <n v="3"/>
  </r>
  <r>
    <x v="3"/>
    <x v="0"/>
    <n v="10"/>
    <n v="4"/>
  </r>
  <r>
    <x v="0"/>
    <x v="0"/>
    <n v="2"/>
    <n v="1"/>
  </r>
  <r>
    <x v="0"/>
    <x v="2"/>
    <n v="0"/>
    <n v="1"/>
  </r>
  <r>
    <x v="0"/>
    <x v="2"/>
    <n v="5"/>
    <n v="1"/>
  </r>
  <r>
    <x v="0"/>
    <x v="2"/>
    <n v="5"/>
    <n v="1"/>
  </r>
  <r>
    <x v="2"/>
    <x v="2"/>
    <n v="4"/>
    <n v="3"/>
  </r>
  <r>
    <x v="2"/>
    <x v="1"/>
    <n v="5"/>
    <n v="3"/>
  </r>
  <r>
    <x v="2"/>
    <x v="3"/>
    <n v="3"/>
    <n v="3"/>
  </r>
  <r>
    <x v="1"/>
    <x v="3"/>
    <n v="50"/>
    <n v="2"/>
  </r>
  <r>
    <x v="1"/>
    <x v="3"/>
    <n v="40"/>
    <n v="2"/>
  </r>
  <r>
    <x v="1"/>
    <x v="3"/>
    <n v="1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>
  <location ref="U2:V15" firstHeaderRow="1" firstDataRow="1" firstDataCol="1"/>
  <pivotFields count="4">
    <pivotField axis="axisRow" showAll="0">
      <items count="5">
        <item x="0"/>
        <item x="2"/>
        <item x="1"/>
        <item x="3"/>
        <item t="default"/>
      </items>
    </pivotField>
    <pivotField axis="axisRow" showAll="0" defaultSubtotal="0">
      <items count="4">
        <item x="1"/>
        <item x="3"/>
        <item x="2"/>
        <item x="0"/>
      </items>
    </pivotField>
    <pivotField dataField="1" showAll="0"/>
    <pivotField showAll="0"/>
  </pivotFields>
  <rowFields count="2">
    <field x="0"/>
    <field x="1"/>
  </rowFields>
  <rowItems count="13">
    <i>
      <x/>
    </i>
    <i r="1">
      <x v="2"/>
    </i>
    <i r="1">
      <x v="3"/>
    </i>
    <i>
      <x v="1"/>
    </i>
    <i r="1">
      <x/>
    </i>
    <i r="1">
      <x v="1"/>
    </i>
    <i r="1">
      <x v="2"/>
    </i>
    <i>
      <x v="2"/>
    </i>
    <i r="1">
      <x/>
    </i>
    <i r="1">
      <x v="1"/>
    </i>
    <i>
      <x v="3"/>
    </i>
    <i r="1">
      <x v="3"/>
    </i>
    <i t="grand">
      <x/>
    </i>
  </rowItems>
  <colItems count="1">
    <i/>
  </colItems>
  <dataFields count="1">
    <dataField name="Soma de Qtd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V18"/>
  <sheetViews>
    <sheetView showGridLines="0" workbookViewId="0">
      <selection activeCell="C12" sqref="C12"/>
    </sheetView>
  </sheetViews>
  <sheetFormatPr defaultRowHeight="15" x14ac:dyDescent="0.25"/>
  <cols>
    <col min="7" max="7" width="2.42578125" customWidth="1"/>
    <col min="8" max="8" width="11" bestFit="1" customWidth="1"/>
    <col min="9" max="9" width="11" customWidth="1"/>
    <col min="10" max="10" width="8.140625" bestFit="1" customWidth="1"/>
    <col min="11" max="11" width="16.7109375" bestFit="1" customWidth="1"/>
    <col min="14" max="18" width="3" customWidth="1"/>
    <col min="21" max="21" width="18" bestFit="1" customWidth="1"/>
    <col min="22" max="22" width="13.5703125" bestFit="1" customWidth="1"/>
  </cols>
  <sheetData>
    <row r="1" spans="1:22" ht="117" customHeight="1" x14ac:dyDescent="0.25"/>
    <row r="2" spans="1:22" x14ac:dyDescent="0.25">
      <c r="A2" s="6">
        <v>-8</v>
      </c>
      <c r="C2" s="6">
        <v>1</v>
      </c>
      <c r="D2" s="6">
        <v>1</v>
      </c>
      <c r="E2" s="6">
        <v>1</v>
      </c>
      <c r="H2" s="1" t="s">
        <v>0</v>
      </c>
      <c r="I2" s="1" t="s">
        <v>10</v>
      </c>
      <c r="J2" s="1" t="s">
        <v>1</v>
      </c>
      <c r="K2" s="1" t="s">
        <v>2</v>
      </c>
      <c r="N2" s="6">
        <v>1</v>
      </c>
      <c r="O2" s="6">
        <v>2</v>
      </c>
      <c r="P2" s="6">
        <v>3</v>
      </c>
      <c r="Q2" s="6">
        <v>4</v>
      </c>
      <c r="R2" s="6">
        <v>5</v>
      </c>
      <c r="U2" s="3" t="s">
        <v>7</v>
      </c>
      <c r="V2" t="s">
        <v>9</v>
      </c>
    </row>
    <row r="3" spans="1:22" x14ac:dyDescent="0.25">
      <c r="A3" s="6">
        <v>-7</v>
      </c>
      <c r="C3" s="6">
        <v>2</v>
      </c>
      <c r="D3" s="6">
        <v>2</v>
      </c>
      <c r="E3" s="6">
        <v>2</v>
      </c>
      <c r="H3" s="2" t="s">
        <v>3</v>
      </c>
      <c r="I3" s="2" t="s">
        <v>11</v>
      </c>
      <c r="J3" s="2">
        <v>10</v>
      </c>
      <c r="K3" s="2">
        <v>1</v>
      </c>
      <c r="N3" s="6">
        <v>1</v>
      </c>
      <c r="O3" s="6">
        <v>2</v>
      </c>
      <c r="P3" s="6">
        <v>3</v>
      </c>
      <c r="Q3" s="6">
        <v>4</v>
      </c>
      <c r="R3" s="6">
        <v>5</v>
      </c>
      <c r="U3" s="4" t="s">
        <v>3</v>
      </c>
      <c r="V3">
        <v>22</v>
      </c>
    </row>
    <row r="4" spans="1:22" x14ac:dyDescent="0.25">
      <c r="A4" s="6">
        <v>-6</v>
      </c>
      <c r="C4" s="6">
        <v>3</v>
      </c>
      <c r="D4" s="6">
        <v>3</v>
      </c>
      <c r="E4" s="6">
        <v>3</v>
      </c>
      <c r="H4" s="2" t="s">
        <v>4</v>
      </c>
      <c r="I4" s="2" t="s">
        <v>12</v>
      </c>
      <c r="J4" s="2">
        <v>20</v>
      </c>
      <c r="K4" s="2">
        <v>2</v>
      </c>
      <c r="N4" s="6">
        <v>-2</v>
      </c>
      <c r="O4" s="6">
        <v>-1</v>
      </c>
      <c r="P4" s="6">
        <v>0</v>
      </c>
      <c r="Q4" s="6">
        <v>1</v>
      </c>
      <c r="R4" s="6">
        <v>2</v>
      </c>
      <c r="U4" s="5" t="s">
        <v>13</v>
      </c>
      <c r="V4">
        <v>10</v>
      </c>
    </row>
    <row r="5" spans="1:22" x14ac:dyDescent="0.25">
      <c r="A5" s="6">
        <v>-5</v>
      </c>
      <c r="C5" s="6">
        <v>4</v>
      </c>
      <c r="D5" s="6">
        <v>4</v>
      </c>
      <c r="E5" s="6">
        <v>4</v>
      </c>
      <c r="H5" s="2" t="s">
        <v>5</v>
      </c>
      <c r="I5" s="2" t="s">
        <v>12</v>
      </c>
      <c r="J5" s="2">
        <v>20</v>
      </c>
      <c r="K5" s="2">
        <v>3</v>
      </c>
      <c r="U5" s="5" t="s">
        <v>11</v>
      </c>
      <c r="V5">
        <v>12</v>
      </c>
    </row>
    <row r="6" spans="1:22" x14ac:dyDescent="0.25">
      <c r="A6" s="6">
        <v>-4</v>
      </c>
      <c r="C6" s="6">
        <v>5</v>
      </c>
      <c r="D6" s="6">
        <v>5</v>
      </c>
      <c r="E6" s="6">
        <v>5</v>
      </c>
      <c r="H6" s="2" t="s">
        <v>6</v>
      </c>
      <c r="I6" s="2" t="s">
        <v>11</v>
      </c>
      <c r="J6" s="2">
        <v>10</v>
      </c>
      <c r="K6" s="2">
        <v>4</v>
      </c>
      <c r="U6" s="4" t="s">
        <v>5</v>
      </c>
      <c r="V6">
        <v>32</v>
      </c>
    </row>
    <row r="7" spans="1:22" x14ac:dyDescent="0.25">
      <c r="A7" s="6">
        <v>-3</v>
      </c>
      <c r="H7" s="2" t="s">
        <v>3</v>
      </c>
      <c r="I7" s="2" t="s">
        <v>11</v>
      </c>
      <c r="J7" s="2">
        <v>2</v>
      </c>
      <c r="K7" s="2">
        <v>1</v>
      </c>
      <c r="U7" s="5" t="s">
        <v>12</v>
      </c>
      <c r="V7">
        <v>25</v>
      </c>
    </row>
    <row r="8" spans="1:22" x14ac:dyDescent="0.25">
      <c r="A8" s="6">
        <v>-2</v>
      </c>
      <c r="H8" s="2" t="s">
        <v>3</v>
      </c>
      <c r="I8" s="2" t="s">
        <v>13</v>
      </c>
      <c r="J8" s="2">
        <v>0</v>
      </c>
      <c r="K8" s="2">
        <v>1</v>
      </c>
      <c r="U8" s="5" t="s">
        <v>14</v>
      </c>
      <c r="V8">
        <v>3</v>
      </c>
    </row>
    <row r="9" spans="1:22" x14ac:dyDescent="0.25">
      <c r="A9" s="6">
        <v>-1</v>
      </c>
      <c r="H9" s="2" t="s">
        <v>3</v>
      </c>
      <c r="I9" s="2" t="s">
        <v>13</v>
      </c>
      <c r="J9" s="2">
        <v>5</v>
      </c>
      <c r="K9" s="2">
        <v>1</v>
      </c>
      <c r="U9" s="5" t="s">
        <v>13</v>
      </c>
      <c r="V9">
        <v>4</v>
      </c>
    </row>
    <row r="10" spans="1:22" x14ac:dyDescent="0.25">
      <c r="A10" s="6">
        <v>0</v>
      </c>
      <c r="H10" s="2" t="s">
        <v>3</v>
      </c>
      <c r="I10" s="2" t="s">
        <v>13</v>
      </c>
      <c r="J10" s="2">
        <v>5</v>
      </c>
      <c r="K10" s="2">
        <v>1</v>
      </c>
      <c r="U10" s="4" t="s">
        <v>4</v>
      </c>
      <c r="V10">
        <v>120</v>
      </c>
    </row>
    <row r="11" spans="1:22" x14ac:dyDescent="0.25">
      <c r="A11" s="6">
        <v>1</v>
      </c>
      <c r="H11" s="2" t="s">
        <v>5</v>
      </c>
      <c r="I11" s="2" t="s">
        <v>13</v>
      </c>
      <c r="J11" s="2">
        <v>4</v>
      </c>
      <c r="K11" s="2">
        <v>3</v>
      </c>
      <c r="U11" s="5" t="s">
        <v>12</v>
      </c>
      <c r="V11">
        <v>20</v>
      </c>
    </row>
    <row r="12" spans="1:22" x14ac:dyDescent="0.25">
      <c r="A12" s="6">
        <v>2</v>
      </c>
      <c r="H12" s="2" t="s">
        <v>5</v>
      </c>
      <c r="I12" s="2" t="s">
        <v>12</v>
      </c>
      <c r="J12" s="2">
        <v>5</v>
      </c>
      <c r="K12" s="2">
        <v>3</v>
      </c>
      <c r="U12" s="5" t="s">
        <v>14</v>
      </c>
      <c r="V12">
        <v>100</v>
      </c>
    </row>
    <row r="13" spans="1:22" x14ac:dyDescent="0.25">
      <c r="A13" s="6">
        <v>3</v>
      </c>
      <c r="H13" s="2" t="s">
        <v>5</v>
      </c>
      <c r="I13" s="2" t="s">
        <v>14</v>
      </c>
      <c r="J13" s="2">
        <v>3</v>
      </c>
      <c r="K13" s="2">
        <v>3</v>
      </c>
      <c r="U13" s="4" t="s">
        <v>6</v>
      </c>
      <c r="V13">
        <v>10</v>
      </c>
    </row>
    <row r="14" spans="1:22" x14ac:dyDescent="0.25">
      <c r="A14" s="6">
        <v>4</v>
      </c>
      <c r="H14" s="2" t="s">
        <v>4</v>
      </c>
      <c r="I14" s="2" t="s">
        <v>14</v>
      </c>
      <c r="J14" s="2">
        <v>50</v>
      </c>
      <c r="K14" s="2">
        <v>2</v>
      </c>
      <c r="U14" s="5" t="s">
        <v>11</v>
      </c>
      <c r="V14">
        <v>10</v>
      </c>
    </row>
    <row r="15" spans="1:22" x14ac:dyDescent="0.25">
      <c r="A15" s="6">
        <v>5</v>
      </c>
      <c r="H15" s="2" t="s">
        <v>4</v>
      </c>
      <c r="I15" s="2" t="s">
        <v>14</v>
      </c>
      <c r="J15" s="2">
        <v>40</v>
      </c>
      <c r="K15" s="2">
        <v>2</v>
      </c>
      <c r="U15" s="4" t="s">
        <v>8</v>
      </c>
      <c r="V15">
        <v>184</v>
      </c>
    </row>
    <row r="16" spans="1:22" x14ac:dyDescent="0.25">
      <c r="A16" s="6">
        <v>6</v>
      </c>
      <c r="H16" s="2" t="s">
        <v>4</v>
      </c>
      <c r="I16" s="2" t="s">
        <v>14</v>
      </c>
      <c r="J16" s="2">
        <v>10</v>
      </c>
      <c r="K16" s="2">
        <v>2</v>
      </c>
    </row>
    <row r="17" spans="1:1" x14ac:dyDescent="0.25">
      <c r="A17" s="6">
        <v>7</v>
      </c>
    </row>
    <row r="18" spans="1:1" x14ac:dyDescent="0.25">
      <c r="A18" s="6">
        <v>8</v>
      </c>
    </row>
  </sheetData>
  <autoFilter ref="H2:K16"/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0:M54"/>
  <sheetViews>
    <sheetView showGridLines="0" workbookViewId="0">
      <selection activeCell="I43" sqref="I43"/>
    </sheetView>
  </sheetViews>
  <sheetFormatPr defaultColWidth="13.7109375" defaultRowHeight="15" x14ac:dyDescent="0.25"/>
  <cols>
    <col min="1" max="1" width="7.42578125" customWidth="1"/>
    <col min="2" max="2" width="13.7109375" style="121"/>
    <col min="3" max="3" width="7.42578125" customWidth="1"/>
    <col min="4" max="4" width="13.7109375" style="121"/>
    <col min="5" max="5" width="7.42578125" customWidth="1"/>
    <col min="7" max="7" width="13.7109375" style="121"/>
  </cols>
  <sheetData>
    <row r="10" spans="1:13" x14ac:dyDescent="0.25">
      <c r="A10" s="2"/>
      <c r="B10" s="120"/>
      <c r="C10" s="2"/>
      <c r="D10" s="120"/>
      <c r="E10" s="2"/>
      <c r="G10" s="120"/>
      <c r="H10" s="2"/>
      <c r="I10" s="2"/>
      <c r="J10" s="2"/>
      <c r="K10" s="2"/>
      <c r="L10" s="2"/>
      <c r="M10" s="2"/>
    </row>
    <row r="11" spans="1:13" x14ac:dyDescent="0.25">
      <c r="A11" s="2"/>
      <c r="B11" s="120" t="s">
        <v>19</v>
      </c>
      <c r="C11" s="2" t="s">
        <v>24</v>
      </c>
      <c r="D11" s="120"/>
      <c r="E11" s="2"/>
      <c r="G11" s="120"/>
      <c r="H11" s="2" t="s">
        <v>29</v>
      </c>
      <c r="I11" s="2"/>
      <c r="J11" s="2"/>
      <c r="K11" s="2"/>
      <c r="L11" s="2"/>
      <c r="M11" s="2"/>
    </row>
    <row r="12" spans="1:13" x14ac:dyDescent="0.25">
      <c r="A12" s="2"/>
      <c r="B12" s="120" t="s">
        <v>20</v>
      </c>
      <c r="C12" s="2" t="s">
        <v>25</v>
      </c>
      <c r="D12" s="120"/>
      <c r="E12" s="2"/>
      <c r="G12" s="120"/>
      <c r="H12" s="2" t="s">
        <v>30</v>
      </c>
      <c r="I12" s="2"/>
      <c r="J12" s="2"/>
      <c r="K12" s="2"/>
      <c r="L12" s="2"/>
      <c r="M12" s="2"/>
    </row>
    <row r="13" spans="1:13" x14ac:dyDescent="0.25">
      <c r="A13" s="2"/>
      <c r="B13" s="120" t="s">
        <v>21</v>
      </c>
      <c r="C13" s="2" t="s">
        <v>26</v>
      </c>
      <c r="D13" s="120"/>
      <c r="E13" s="2"/>
      <c r="G13" s="120"/>
      <c r="H13" s="2" t="s">
        <v>62</v>
      </c>
      <c r="I13" s="2"/>
      <c r="J13" s="2"/>
      <c r="K13" s="2"/>
      <c r="L13" s="2"/>
      <c r="M13" s="2"/>
    </row>
    <row r="14" spans="1:13" x14ac:dyDescent="0.25">
      <c r="A14" s="2"/>
      <c r="B14" s="120" t="s">
        <v>22</v>
      </c>
      <c r="C14" s="2" t="s">
        <v>27</v>
      </c>
      <c r="D14" s="120"/>
      <c r="E14" s="2"/>
      <c r="G14" s="120"/>
      <c r="H14" s="2" t="s">
        <v>63</v>
      </c>
      <c r="I14" s="2"/>
      <c r="J14" s="2"/>
      <c r="K14" s="2"/>
      <c r="L14" s="2"/>
      <c r="M14" s="2"/>
    </row>
    <row r="15" spans="1:13" x14ac:dyDescent="0.25">
      <c r="A15" s="2"/>
      <c r="B15" s="120" t="s">
        <v>23</v>
      </c>
      <c r="C15" s="2" t="s">
        <v>28</v>
      </c>
      <c r="D15" s="120"/>
      <c r="E15" s="2"/>
      <c r="G15" s="120"/>
      <c r="H15" s="2" t="s">
        <v>64</v>
      </c>
      <c r="I15" s="2"/>
      <c r="J15" s="2"/>
      <c r="K15" s="2"/>
      <c r="L15" s="2"/>
      <c r="M15" s="2"/>
    </row>
    <row r="16" spans="1:13" x14ac:dyDescent="0.25">
      <c r="A16" s="2"/>
      <c r="B16" s="120"/>
      <c r="C16" s="2"/>
      <c r="D16" s="120"/>
      <c r="E16" s="2"/>
      <c r="G16" s="120"/>
      <c r="H16" s="2" t="s">
        <v>65</v>
      </c>
      <c r="I16" s="2"/>
      <c r="J16" s="2"/>
      <c r="K16" s="2"/>
      <c r="L16" s="2"/>
      <c r="M16" s="2"/>
    </row>
    <row r="17" spans="1:13" x14ac:dyDescent="0.25">
      <c r="A17" s="2"/>
      <c r="B17" s="120"/>
      <c r="C17" s="2"/>
      <c r="D17" s="120"/>
      <c r="E17" s="2"/>
      <c r="G17" s="120"/>
      <c r="H17" s="2" t="s">
        <v>66</v>
      </c>
      <c r="I17" s="2"/>
      <c r="J17" s="2"/>
      <c r="K17" s="2"/>
      <c r="L17" s="2"/>
      <c r="M17" s="2"/>
    </row>
    <row r="18" spans="1:13" x14ac:dyDescent="0.25">
      <c r="A18" s="2"/>
      <c r="B18" s="120"/>
      <c r="C18" s="2"/>
      <c r="D18" s="120"/>
      <c r="E18" s="2"/>
      <c r="G18" s="120"/>
      <c r="H18" s="2" t="s">
        <v>67</v>
      </c>
      <c r="I18" s="2"/>
      <c r="J18" s="2"/>
      <c r="K18" s="2"/>
      <c r="L18" s="2"/>
      <c r="M18" s="2"/>
    </row>
    <row r="19" spans="1:13" x14ac:dyDescent="0.25">
      <c r="A19" s="2"/>
      <c r="B19" s="120"/>
      <c r="C19" s="2"/>
      <c r="D19" s="120"/>
      <c r="E19" s="2"/>
      <c r="G19" s="120"/>
      <c r="H19" s="2" t="s">
        <v>68</v>
      </c>
      <c r="I19" s="2"/>
      <c r="J19" s="2"/>
      <c r="K19" s="2"/>
      <c r="L19" s="2"/>
      <c r="M19" s="2"/>
    </row>
    <row r="20" spans="1:13" x14ac:dyDescent="0.25">
      <c r="A20" s="2"/>
      <c r="B20" s="120"/>
      <c r="C20" s="2"/>
      <c r="D20" s="120"/>
      <c r="E20" s="2"/>
      <c r="G20" s="120"/>
      <c r="H20" s="2" t="s">
        <v>69</v>
      </c>
      <c r="I20" s="2"/>
      <c r="J20" s="2"/>
      <c r="K20" s="2"/>
      <c r="L20" s="2"/>
      <c r="M20" s="2"/>
    </row>
    <row r="21" spans="1:13" x14ac:dyDescent="0.25">
      <c r="A21" s="2"/>
      <c r="B21" s="120"/>
      <c r="C21" s="2"/>
      <c r="D21" s="120"/>
      <c r="E21" s="2"/>
      <c r="G21" s="120"/>
      <c r="H21" s="2" t="s">
        <v>70</v>
      </c>
      <c r="I21" s="2"/>
      <c r="J21" s="2"/>
      <c r="K21" s="2"/>
      <c r="L21" s="2"/>
      <c r="M21" s="2"/>
    </row>
    <row r="22" spans="1:13" x14ac:dyDescent="0.25">
      <c r="A22" s="2"/>
      <c r="B22" s="120"/>
      <c r="C22" s="2"/>
      <c r="D22" s="120"/>
      <c r="E22" s="2"/>
      <c r="G22" s="120"/>
      <c r="H22" s="2" t="s">
        <v>71</v>
      </c>
      <c r="I22" s="2"/>
      <c r="J22" s="2"/>
      <c r="K22" s="2"/>
      <c r="L22" s="2"/>
      <c r="M22" s="2"/>
    </row>
    <row r="23" spans="1:13" x14ac:dyDescent="0.25">
      <c r="A23" s="2"/>
      <c r="B23" s="120"/>
      <c r="C23" s="2"/>
      <c r="D23" s="120"/>
      <c r="E23" s="2"/>
      <c r="G23" s="120"/>
      <c r="H23" s="2"/>
      <c r="I23" s="2"/>
      <c r="J23" s="2"/>
      <c r="K23" s="2"/>
      <c r="L23" s="2"/>
      <c r="M23" s="2"/>
    </row>
    <row r="27" spans="1:13" ht="15.75" customHeight="1" x14ac:dyDescent="0.25"/>
    <row r="28" spans="1:13" s="118" customFormat="1" ht="15.75" customHeight="1" x14ac:dyDescent="0.25">
      <c r="B28" s="121"/>
      <c r="D28" s="121"/>
      <c r="G28" s="121"/>
    </row>
    <row r="29" spans="1:13" ht="15.75" customHeight="1" x14ac:dyDescent="0.25"/>
    <row r="30" spans="1:13" s="119" customFormat="1" ht="15.75" customHeight="1" x14ac:dyDescent="0.25">
      <c r="B30" s="121"/>
      <c r="D30" s="121"/>
      <c r="G30" s="121"/>
    </row>
    <row r="31" spans="1:13" ht="15.75" customHeight="1" x14ac:dyDescent="0.25"/>
    <row r="32" spans="1:13" s="117" customFormat="1" ht="15.75" customHeight="1" x14ac:dyDescent="0.25">
      <c r="B32" s="121"/>
      <c r="D32" s="121"/>
      <c r="G32" s="12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50" ht="6.75" customHeight="1" x14ac:dyDescent="0.25"/>
    <row r="52" ht="6.75" customHeight="1" x14ac:dyDescent="0.25"/>
    <row r="54" ht="6.75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B14:M156"/>
  <sheetViews>
    <sheetView showGridLines="0" workbookViewId="0">
      <selection activeCell="N17" sqref="N17"/>
    </sheetView>
  </sheetViews>
  <sheetFormatPr defaultRowHeight="15" x14ac:dyDescent="0.25"/>
  <cols>
    <col min="13" max="13" width="12.7109375" customWidth="1"/>
  </cols>
  <sheetData>
    <row r="14" spans="2:13" ht="18.75" x14ac:dyDescent="0.3">
      <c r="B14" s="46" t="s">
        <v>16</v>
      </c>
      <c r="C14" s="25"/>
      <c r="D14" s="25"/>
      <c r="E14" s="25"/>
      <c r="F14" s="25"/>
      <c r="G14" s="25"/>
      <c r="H14" s="46" t="s">
        <v>17</v>
      </c>
      <c r="M14" s="9" t="s">
        <v>18</v>
      </c>
    </row>
    <row r="15" spans="2:13" x14ac:dyDescent="0.25">
      <c r="M15" s="2"/>
    </row>
    <row r="16" spans="2:13" x14ac:dyDescent="0.25">
      <c r="M16" s="2"/>
    </row>
    <row r="17" spans="13:13" x14ac:dyDescent="0.25">
      <c r="M17" s="2"/>
    </row>
    <row r="18" spans="13:13" x14ac:dyDescent="0.25">
      <c r="M18" s="2"/>
    </row>
    <row r="19" spans="13:13" x14ac:dyDescent="0.25">
      <c r="M19" s="2"/>
    </row>
    <row r="20" spans="13:13" x14ac:dyDescent="0.25">
      <c r="M20" s="2"/>
    </row>
    <row r="21" spans="13:13" x14ac:dyDescent="0.25">
      <c r="M21" s="2"/>
    </row>
    <row r="22" spans="13:13" x14ac:dyDescent="0.25">
      <c r="M22" s="2"/>
    </row>
    <row r="23" spans="13:13" x14ac:dyDescent="0.25">
      <c r="M23" s="2"/>
    </row>
    <row r="24" spans="13:13" x14ac:dyDescent="0.25">
      <c r="M24" s="2"/>
    </row>
    <row r="25" spans="13:13" x14ac:dyDescent="0.25">
      <c r="M25" s="2"/>
    </row>
    <row r="26" spans="13:13" x14ac:dyDescent="0.25">
      <c r="M26" s="2"/>
    </row>
    <row r="27" spans="13:13" x14ac:dyDescent="0.25">
      <c r="M27" s="2"/>
    </row>
    <row r="28" spans="13:13" x14ac:dyDescent="0.25">
      <c r="M28" s="2"/>
    </row>
    <row r="29" spans="13:13" x14ac:dyDescent="0.25">
      <c r="M29" s="2"/>
    </row>
    <row r="30" spans="13:13" x14ac:dyDescent="0.25">
      <c r="M30" s="2"/>
    </row>
    <row r="31" spans="13:13" x14ac:dyDescent="0.25">
      <c r="M31" s="2"/>
    </row>
    <row r="32" spans="13:13" x14ac:dyDescent="0.25">
      <c r="M32" s="2"/>
    </row>
    <row r="33" spans="13:13" x14ac:dyDescent="0.25">
      <c r="M33" s="2"/>
    </row>
    <row r="34" spans="13:13" x14ac:dyDescent="0.25">
      <c r="M34" s="2"/>
    </row>
    <row r="35" spans="13:13" x14ac:dyDescent="0.25">
      <c r="M35" s="2"/>
    </row>
    <row r="36" spans="13:13" x14ac:dyDescent="0.25">
      <c r="M36" s="2"/>
    </row>
    <row r="37" spans="13:13" x14ac:dyDescent="0.25">
      <c r="M37" s="2"/>
    </row>
    <row r="38" spans="13:13" x14ac:dyDescent="0.25">
      <c r="M38" s="2"/>
    </row>
    <row r="39" spans="13:13" x14ac:dyDescent="0.25">
      <c r="M39" s="2"/>
    </row>
    <row r="40" spans="13:13" x14ac:dyDescent="0.25">
      <c r="M40" s="2"/>
    </row>
    <row r="41" spans="13:13" x14ac:dyDescent="0.25">
      <c r="M41" s="2"/>
    </row>
    <row r="42" spans="13:13" x14ac:dyDescent="0.25">
      <c r="M42" s="2"/>
    </row>
    <row r="43" spans="13:13" x14ac:dyDescent="0.25">
      <c r="M43" s="2"/>
    </row>
    <row r="44" spans="13:13" x14ac:dyDescent="0.25">
      <c r="M44" s="2"/>
    </row>
    <row r="45" spans="13:13" x14ac:dyDescent="0.25">
      <c r="M45" s="2"/>
    </row>
    <row r="46" spans="13:13" x14ac:dyDescent="0.25">
      <c r="M46" s="2"/>
    </row>
    <row r="47" spans="13:13" x14ac:dyDescent="0.25">
      <c r="M47" s="2"/>
    </row>
    <row r="48" spans="13:13" x14ac:dyDescent="0.25">
      <c r="M48" s="2"/>
    </row>
    <row r="49" spans="13:13" x14ac:dyDescent="0.25">
      <c r="M49" s="2"/>
    </row>
    <row r="50" spans="13:13" x14ac:dyDescent="0.25">
      <c r="M50" s="2"/>
    </row>
    <row r="51" spans="13:13" x14ac:dyDescent="0.25">
      <c r="M51" s="2"/>
    </row>
    <row r="52" spans="13:13" x14ac:dyDescent="0.25">
      <c r="M52" s="2"/>
    </row>
    <row r="53" spans="13:13" x14ac:dyDescent="0.25">
      <c r="M53" s="2"/>
    </row>
    <row r="54" spans="13:13" x14ac:dyDescent="0.25">
      <c r="M54" s="2"/>
    </row>
    <row r="55" spans="13:13" x14ac:dyDescent="0.25">
      <c r="M55" s="2"/>
    </row>
    <row r="56" spans="13:13" x14ac:dyDescent="0.25">
      <c r="M56" s="2"/>
    </row>
    <row r="57" spans="13:13" x14ac:dyDescent="0.25">
      <c r="M57" s="2"/>
    </row>
    <row r="58" spans="13:13" x14ac:dyDescent="0.25">
      <c r="M58" s="2"/>
    </row>
    <row r="59" spans="13:13" x14ac:dyDescent="0.25">
      <c r="M59" s="2"/>
    </row>
    <row r="60" spans="13:13" x14ac:dyDescent="0.25">
      <c r="M60" s="2"/>
    </row>
    <row r="61" spans="13:13" x14ac:dyDescent="0.25">
      <c r="M61" s="2"/>
    </row>
    <row r="62" spans="13:13" x14ac:dyDescent="0.25">
      <c r="M62" s="2"/>
    </row>
    <row r="63" spans="13:13" x14ac:dyDescent="0.25">
      <c r="M63" s="2"/>
    </row>
    <row r="64" spans="13:13" x14ac:dyDescent="0.25">
      <c r="M64" s="2"/>
    </row>
    <row r="65" spans="13:13" x14ac:dyDescent="0.25">
      <c r="M65" s="2"/>
    </row>
    <row r="66" spans="13:13" x14ac:dyDescent="0.25">
      <c r="M66" s="2"/>
    </row>
    <row r="67" spans="13:13" x14ac:dyDescent="0.25">
      <c r="M67" s="2"/>
    </row>
    <row r="68" spans="13:13" x14ac:dyDescent="0.25">
      <c r="M68" s="2"/>
    </row>
    <row r="69" spans="13:13" x14ac:dyDescent="0.25">
      <c r="M69" s="2"/>
    </row>
    <row r="70" spans="13:13" x14ac:dyDescent="0.25">
      <c r="M70" s="2"/>
    </row>
    <row r="71" spans="13:13" x14ac:dyDescent="0.25">
      <c r="M71" s="2"/>
    </row>
    <row r="72" spans="13:13" x14ac:dyDescent="0.25">
      <c r="M72" s="2"/>
    </row>
    <row r="73" spans="13:13" x14ac:dyDescent="0.25">
      <c r="M73" s="2"/>
    </row>
    <row r="74" spans="13:13" x14ac:dyDescent="0.25">
      <c r="M74" s="2"/>
    </row>
    <row r="75" spans="13:13" x14ac:dyDescent="0.25">
      <c r="M75" s="2"/>
    </row>
    <row r="76" spans="13:13" x14ac:dyDescent="0.25">
      <c r="M76" s="2"/>
    </row>
    <row r="77" spans="13:13" x14ac:dyDescent="0.25">
      <c r="M77" s="2"/>
    </row>
    <row r="78" spans="13:13" x14ac:dyDescent="0.25">
      <c r="M78" s="2"/>
    </row>
    <row r="79" spans="13:13" x14ac:dyDescent="0.25">
      <c r="M79" s="2"/>
    </row>
    <row r="80" spans="13:13" x14ac:dyDescent="0.25">
      <c r="M80" s="2"/>
    </row>
    <row r="81" spans="13:13" x14ac:dyDescent="0.25">
      <c r="M81" s="2"/>
    </row>
    <row r="82" spans="13:13" x14ac:dyDescent="0.25">
      <c r="M82" s="2"/>
    </row>
    <row r="83" spans="13:13" x14ac:dyDescent="0.25">
      <c r="M83" s="2"/>
    </row>
    <row r="84" spans="13:13" x14ac:dyDescent="0.25">
      <c r="M84" s="2"/>
    </row>
    <row r="85" spans="13:13" x14ac:dyDescent="0.25">
      <c r="M85" s="2"/>
    </row>
    <row r="86" spans="13:13" x14ac:dyDescent="0.25">
      <c r="M86" s="2"/>
    </row>
    <row r="87" spans="13:13" x14ac:dyDescent="0.25">
      <c r="M87" s="2"/>
    </row>
    <row r="88" spans="13:13" x14ac:dyDescent="0.25">
      <c r="M88" s="2"/>
    </row>
    <row r="89" spans="13:13" x14ac:dyDescent="0.25">
      <c r="M89" s="2"/>
    </row>
    <row r="90" spans="13:13" x14ac:dyDescent="0.25">
      <c r="M90" s="2"/>
    </row>
    <row r="91" spans="13:13" x14ac:dyDescent="0.25">
      <c r="M91" s="2"/>
    </row>
    <row r="92" spans="13:13" x14ac:dyDescent="0.25">
      <c r="M92" s="2"/>
    </row>
    <row r="93" spans="13:13" x14ac:dyDescent="0.25">
      <c r="M93" s="2"/>
    </row>
    <row r="94" spans="13:13" x14ac:dyDescent="0.25">
      <c r="M94" s="2"/>
    </row>
    <row r="95" spans="13:13" x14ac:dyDescent="0.25">
      <c r="M95" s="2"/>
    </row>
    <row r="96" spans="13:13" x14ac:dyDescent="0.25">
      <c r="M96" s="2"/>
    </row>
    <row r="97" spans="13:13" x14ac:dyDescent="0.25">
      <c r="M97" s="2"/>
    </row>
    <row r="98" spans="13:13" x14ac:dyDescent="0.25">
      <c r="M98" s="2"/>
    </row>
    <row r="99" spans="13:13" x14ac:dyDescent="0.25">
      <c r="M99" s="2"/>
    </row>
    <row r="100" spans="13:13" x14ac:dyDescent="0.25">
      <c r="M100" s="2"/>
    </row>
    <row r="101" spans="13:13" x14ac:dyDescent="0.25">
      <c r="M101" s="2"/>
    </row>
    <row r="102" spans="13:13" x14ac:dyDescent="0.25">
      <c r="M102" s="2"/>
    </row>
    <row r="103" spans="13:13" x14ac:dyDescent="0.25">
      <c r="M103" s="2"/>
    </row>
    <row r="104" spans="13:13" x14ac:dyDescent="0.25">
      <c r="M104" s="2"/>
    </row>
    <row r="105" spans="13:13" x14ac:dyDescent="0.25">
      <c r="M105" s="2"/>
    </row>
    <row r="106" spans="13:13" x14ac:dyDescent="0.25">
      <c r="M106" s="2"/>
    </row>
    <row r="107" spans="13:13" x14ac:dyDescent="0.25">
      <c r="M107" s="2"/>
    </row>
    <row r="108" spans="13:13" x14ac:dyDescent="0.25">
      <c r="M108" s="2"/>
    </row>
    <row r="109" spans="13:13" x14ac:dyDescent="0.25">
      <c r="M109" s="2"/>
    </row>
    <row r="110" spans="13:13" x14ac:dyDescent="0.25">
      <c r="M110" s="2"/>
    </row>
    <row r="111" spans="13:13" x14ac:dyDescent="0.25">
      <c r="M111" s="2"/>
    </row>
    <row r="112" spans="13:13" x14ac:dyDescent="0.25">
      <c r="M112" s="2"/>
    </row>
    <row r="113" spans="13:13" x14ac:dyDescent="0.25">
      <c r="M113" s="2"/>
    </row>
    <row r="114" spans="13:13" x14ac:dyDescent="0.25">
      <c r="M114" s="2"/>
    </row>
    <row r="115" spans="13:13" x14ac:dyDescent="0.25">
      <c r="M115" s="2"/>
    </row>
    <row r="116" spans="13:13" x14ac:dyDescent="0.25">
      <c r="M116" s="2"/>
    </row>
    <row r="117" spans="13:13" x14ac:dyDescent="0.25">
      <c r="M117" s="2"/>
    </row>
    <row r="118" spans="13:13" x14ac:dyDescent="0.25">
      <c r="M118" s="2"/>
    </row>
    <row r="119" spans="13:13" x14ac:dyDescent="0.25">
      <c r="M119" s="2"/>
    </row>
    <row r="120" spans="13:13" x14ac:dyDescent="0.25">
      <c r="M120" s="2"/>
    </row>
    <row r="121" spans="13:13" x14ac:dyDescent="0.25">
      <c r="M121" s="2"/>
    </row>
    <row r="122" spans="13:13" x14ac:dyDescent="0.25">
      <c r="M122" s="2"/>
    </row>
    <row r="123" spans="13:13" x14ac:dyDescent="0.25">
      <c r="M123" s="2"/>
    </row>
    <row r="124" spans="13:13" x14ac:dyDescent="0.25">
      <c r="M124" s="2"/>
    </row>
    <row r="125" spans="13:13" x14ac:dyDescent="0.25">
      <c r="M125" s="2"/>
    </row>
    <row r="126" spans="13:13" x14ac:dyDescent="0.25">
      <c r="M126" s="2"/>
    </row>
    <row r="127" spans="13:13" x14ac:dyDescent="0.25">
      <c r="M127" s="2"/>
    </row>
    <row r="128" spans="13:13" x14ac:dyDescent="0.25">
      <c r="M128" s="2"/>
    </row>
    <row r="129" spans="13:13" x14ac:dyDescent="0.25">
      <c r="M129" s="2"/>
    </row>
    <row r="130" spans="13:13" x14ac:dyDescent="0.25">
      <c r="M130" s="2"/>
    </row>
    <row r="131" spans="13:13" x14ac:dyDescent="0.25">
      <c r="M131" s="2"/>
    </row>
    <row r="132" spans="13:13" x14ac:dyDescent="0.25">
      <c r="M132" s="2"/>
    </row>
    <row r="133" spans="13:13" x14ac:dyDescent="0.25">
      <c r="M133" s="2"/>
    </row>
    <row r="134" spans="13:13" x14ac:dyDescent="0.25">
      <c r="M134" s="2"/>
    </row>
    <row r="135" spans="13:13" x14ac:dyDescent="0.25">
      <c r="M135" s="2"/>
    </row>
    <row r="136" spans="13:13" x14ac:dyDescent="0.25">
      <c r="M136" s="2"/>
    </row>
    <row r="137" spans="13:13" x14ac:dyDescent="0.25">
      <c r="M137" s="2"/>
    </row>
    <row r="138" spans="13:13" x14ac:dyDescent="0.25">
      <c r="M138" s="2"/>
    </row>
    <row r="139" spans="13:13" x14ac:dyDescent="0.25">
      <c r="M139" s="2"/>
    </row>
    <row r="140" spans="13:13" x14ac:dyDescent="0.25">
      <c r="M140" s="2"/>
    </row>
    <row r="141" spans="13:13" x14ac:dyDescent="0.25">
      <c r="M141" s="2"/>
    </row>
    <row r="142" spans="13:13" x14ac:dyDescent="0.25">
      <c r="M142" s="2"/>
    </row>
    <row r="143" spans="13:13" x14ac:dyDescent="0.25">
      <c r="M143" s="2"/>
    </row>
    <row r="144" spans="13:13" x14ac:dyDescent="0.25">
      <c r="M144" s="2"/>
    </row>
    <row r="145" spans="13:13" x14ac:dyDescent="0.25">
      <c r="M145" s="2"/>
    </row>
    <row r="146" spans="13:13" x14ac:dyDescent="0.25">
      <c r="M146" s="2"/>
    </row>
    <row r="147" spans="13:13" x14ac:dyDescent="0.25">
      <c r="M147" s="2"/>
    </row>
    <row r="148" spans="13:13" x14ac:dyDescent="0.25">
      <c r="M148" s="2"/>
    </row>
    <row r="149" spans="13:13" x14ac:dyDescent="0.25">
      <c r="M149" s="2"/>
    </row>
    <row r="150" spans="13:13" x14ac:dyDescent="0.25">
      <c r="M150" s="2"/>
    </row>
    <row r="151" spans="13:13" x14ac:dyDescent="0.25">
      <c r="M151" s="2"/>
    </row>
    <row r="152" spans="13:13" x14ac:dyDescent="0.25">
      <c r="M152" s="2"/>
    </row>
    <row r="153" spans="13:13" x14ac:dyDescent="0.25">
      <c r="M153" s="2"/>
    </row>
    <row r="154" spans="13:13" x14ac:dyDescent="0.25">
      <c r="M154" s="2"/>
    </row>
    <row r="155" spans="13:13" x14ac:dyDescent="0.25">
      <c r="M155" s="2"/>
    </row>
    <row r="156" spans="13:13" x14ac:dyDescent="0.25">
      <c r="M156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D22"/>
  <sheetViews>
    <sheetView showGridLines="0" workbookViewId="0">
      <selection activeCell="C21" sqref="C21"/>
    </sheetView>
  </sheetViews>
  <sheetFormatPr defaultRowHeight="15" x14ac:dyDescent="0.25"/>
  <cols>
    <col min="2" max="2" width="11.42578125" customWidth="1"/>
    <col min="3" max="3" width="14.85546875" customWidth="1"/>
  </cols>
  <sheetData>
    <row r="1" spans="1:2" x14ac:dyDescent="0.25">
      <c r="A1" t="s">
        <v>29</v>
      </c>
      <c r="B1" s="51">
        <v>10</v>
      </c>
    </row>
    <row r="2" spans="1:2" x14ac:dyDescent="0.25">
      <c r="A2" t="s">
        <v>30</v>
      </c>
      <c r="B2" s="51">
        <v>20</v>
      </c>
    </row>
    <row r="3" spans="1:2" x14ac:dyDescent="0.25">
      <c r="A3" s="10" t="s">
        <v>15</v>
      </c>
      <c r="B3" s="52">
        <f>B1+B2</f>
        <v>30</v>
      </c>
    </row>
    <row r="8" spans="1:2" x14ac:dyDescent="0.25">
      <c r="B8" s="122">
        <f>TOTALMESES</f>
        <v>30</v>
      </c>
    </row>
    <row r="17" spans="2:4" x14ac:dyDescent="0.25">
      <c r="B17" s="2"/>
      <c r="C17" s="2"/>
      <c r="D17" s="2"/>
    </row>
    <row r="18" spans="2:4" x14ac:dyDescent="0.25">
      <c r="B18" s="2"/>
      <c r="C18" s="11">
        <v>110</v>
      </c>
      <c r="D18" s="2"/>
    </row>
    <row r="19" spans="2:4" x14ac:dyDescent="0.25">
      <c r="B19" s="2"/>
      <c r="D19" s="2"/>
    </row>
    <row r="20" spans="2:4" x14ac:dyDescent="0.25">
      <c r="B20" s="2"/>
      <c r="C20" s="2"/>
      <c r="D20" s="2"/>
    </row>
    <row r="21" spans="2:4" x14ac:dyDescent="0.25">
      <c r="B21" s="2"/>
      <c r="C21" s="8">
        <f>100+10</f>
        <v>110</v>
      </c>
      <c r="D21" s="2"/>
    </row>
    <row r="22" spans="2:4" x14ac:dyDescent="0.25">
      <c r="B22" s="2"/>
      <c r="C22" s="2"/>
      <c r="D22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0"/>
  <dimension ref="E8:G10"/>
  <sheetViews>
    <sheetView workbookViewId="0">
      <selection activeCell="G16" sqref="G16"/>
    </sheetView>
  </sheetViews>
  <sheetFormatPr defaultRowHeight="15" x14ac:dyDescent="0.25"/>
  <cols>
    <col min="2" max="2" width="13.28515625" customWidth="1"/>
  </cols>
  <sheetData>
    <row r="8" spans="5:7" x14ac:dyDescent="0.25">
      <c r="E8" s="2"/>
      <c r="F8" s="7"/>
      <c r="G8" s="7"/>
    </row>
    <row r="9" spans="5:7" x14ac:dyDescent="0.25">
      <c r="E9" s="2"/>
      <c r="F9" s="11">
        <f>5+5</f>
        <v>10</v>
      </c>
      <c r="G9" s="7"/>
    </row>
    <row r="10" spans="5:7" x14ac:dyDescent="0.25">
      <c r="E10" s="2"/>
      <c r="F10" s="7"/>
      <c r="G10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B11:D51"/>
  <sheetViews>
    <sheetView showGridLines="0" topLeftCell="A31" workbookViewId="0">
      <selection activeCell="C51" sqref="C51"/>
    </sheetView>
  </sheetViews>
  <sheetFormatPr defaultRowHeight="15" x14ac:dyDescent="0.25"/>
  <cols>
    <col min="2" max="2" width="14.28515625" customWidth="1"/>
    <col min="3" max="3" width="14.85546875" customWidth="1"/>
    <col min="4" max="4" width="13.28515625" customWidth="1"/>
  </cols>
  <sheetData>
    <row r="11" spans="2:4" x14ac:dyDescent="0.25">
      <c r="B11" s="2"/>
      <c r="C11" s="7"/>
      <c r="D11" s="7"/>
    </row>
    <row r="12" spans="2:4" x14ac:dyDescent="0.25">
      <c r="B12" s="2"/>
      <c r="C12" s="12">
        <f>5+5</f>
        <v>10</v>
      </c>
      <c r="D12" s="7"/>
    </row>
    <row r="13" spans="2:4" x14ac:dyDescent="0.25">
      <c r="B13" s="2"/>
      <c r="C13" s="7"/>
      <c r="D13" s="7"/>
    </row>
    <row r="18" spans="2:4" x14ac:dyDescent="0.25">
      <c r="B18" s="2"/>
      <c r="C18" s="7"/>
      <c r="D18" s="2"/>
    </row>
    <row r="19" spans="2:4" x14ac:dyDescent="0.25">
      <c r="B19" s="2"/>
      <c r="C19" s="7">
        <v>10</v>
      </c>
      <c r="D19" s="2"/>
    </row>
    <row r="20" spans="2:4" x14ac:dyDescent="0.25">
      <c r="B20" s="2"/>
      <c r="C20" s="7">
        <v>10</v>
      </c>
      <c r="D20" s="2"/>
    </row>
    <row r="21" spans="2:4" x14ac:dyDescent="0.25">
      <c r="B21" s="2"/>
      <c r="C21" s="7">
        <v>10</v>
      </c>
      <c r="D21" s="2"/>
    </row>
    <row r="22" spans="2:4" x14ac:dyDescent="0.25">
      <c r="B22" s="2"/>
      <c r="C22" s="11">
        <f>SUM(C19:C21)</f>
        <v>30</v>
      </c>
      <c r="D22" s="2"/>
    </row>
    <row r="23" spans="2:4" x14ac:dyDescent="0.25">
      <c r="B23" s="2"/>
      <c r="C23" s="7"/>
      <c r="D23" s="2"/>
    </row>
    <row r="29" spans="2:4" x14ac:dyDescent="0.25">
      <c r="B29" s="2"/>
      <c r="C29" s="7"/>
      <c r="D29" s="2"/>
    </row>
    <row r="30" spans="2:4" x14ac:dyDescent="0.25">
      <c r="B30" s="13" t="s">
        <v>100</v>
      </c>
      <c r="C30" s="2"/>
      <c r="D30" s="2"/>
    </row>
    <row r="31" spans="2:4" x14ac:dyDescent="0.25">
      <c r="B31" s="2"/>
      <c r="C31" s="2"/>
      <c r="D31" s="2"/>
    </row>
    <row r="32" spans="2:4" x14ac:dyDescent="0.25">
      <c r="B32" s="2"/>
      <c r="C32" s="13" t="str">
        <f>B30</f>
        <v>Excel</v>
      </c>
      <c r="D32" s="2"/>
    </row>
    <row r="33" spans="2:4" x14ac:dyDescent="0.25">
      <c r="B33" s="2"/>
      <c r="C33" s="2"/>
      <c r="D33" s="2"/>
    </row>
    <row r="34" spans="2:4" x14ac:dyDescent="0.25">
      <c r="B34" s="2"/>
      <c r="C34" s="2"/>
      <c r="D34" s="2"/>
    </row>
    <row r="39" spans="2:4" x14ac:dyDescent="0.25">
      <c r="B39" s="2">
        <v>5</v>
      </c>
    </row>
    <row r="40" spans="2:4" ht="15.75" thickBot="1" x14ac:dyDescent="0.3">
      <c r="B40" s="36">
        <v>5</v>
      </c>
    </row>
    <row r="41" spans="2:4" ht="15.75" thickBot="1" x14ac:dyDescent="0.3">
      <c r="B41" s="53">
        <f>B39+B40</f>
        <v>10</v>
      </c>
    </row>
    <row r="42" spans="2:4" x14ac:dyDescent="0.25">
      <c r="C42" t="str">
        <f>Vinculo!C9</f>
        <v>Vinho</v>
      </c>
    </row>
    <row r="49" spans="2:4" x14ac:dyDescent="0.25">
      <c r="B49" s="2"/>
      <c r="C49" s="2"/>
      <c r="D49" s="2"/>
    </row>
    <row r="50" spans="2:4" x14ac:dyDescent="0.25">
      <c r="B50" s="2"/>
      <c r="C50" s="13" t="str">
        <f>Vinculo!C9</f>
        <v>Vinho</v>
      </c>
      <c r="D50" s="2"/>
    </row>
    <row r="51" spans="2:4" x14ac:dyDescent="0.25">
      <c r="B51" s="2"/>
      <c r="C51" s="2"/>
      <c r="D51" s="2"/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B8:D14"/>
  <sheetViews>
    <sheetView workbookViewId="0">
      <selection activeCell="C10" sqref="C10"/>
    </sheetView>
  </sheetViews>
  <sheetFormatPr defaultRowHeight="15" x14ac:dyDescent="0.25"/>
  <cols>
    <col min="1" max="1" width="4.28515625" customWidth="1"/>
    <col min="2" max="2" width="11.140625" customWidth="1"/>
    <col min="3" max="3" width="33" customWidth="1"/>
    <col min="4" max="4" width="14" customWidth="1"/>
    <col min="5" max="5" width="4.5703125" customWidth="1"/>
  </cols>
  <sheetData>
    <row r="8" spans="2:4" x14ac:dyDescent="0.25">
      <c r="B8" s="2"/>
      <c r="C8" s="7"/>
      <c r="D8" s="7"/>
    </row>
    <row r="9" spans="2:4" x14ac:dyDescent="0.25">
      <c r="B9" s="2"/>
      <c r="C9" s="11" t="s">
        <v>169</v>
      </c>
      <c r="D9" s="7"/>
    </row>
    <row r="10" spans="2:4" x14ac:dyDescent="0.25">
      <c r="B10" s="2"/>
      <c r="C10" s="7"/>
      <c r="D10" s="7"/>
    </row>
    <row r="13" spans="2:4" x14ac:dyDescent="0.25">
      <c r="C13" s="55" t="s">
        <v>89</v>
      </c>
    </row>
    <row r="14" spans="2:4" x14ac:dyDescent="0.25">
      <c r="C14" s="11">
        <f>[1]Plan1!$A$2</f>
        <v>200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2:D12"/>
  <sheetViews>
    <sheetView workbookViewId="0">
      <selection activeCell="C18" sqref="C18"/>
    </sheetView>
  </sheetViews>
  <sheetFormatPr defaultRowHeight="15" x14ac:dyDescent="0.25"/>
  <cols>
    <col min="1" max="1" width="14.42578125" customWidth="1"/>
    <col min="2" max="2" width="13.85546875" bestFit="1" customWidth="1"/>
    <col min="3" max="3" width="14.85546875" customWidth="1"/>
    <col min="4" max="4" width="13.28515625" customWidth="1"/>
    <col min="5" max="5" width="14.85546875" customWidth="1"/>
  </cols>
  <sheetData>
    <row r="2" spans="1:4" x14ac:dyDescent="0.25">
      <c r="A2" s="7"/>
      <c r="B2" s="11" t="s">
        <v>31</v>
      </c>
      <c r="C2" s="11" t="s">
        <v>32</v>
      </c>
      <c r="D2" s="11" t="s">
        <v>33</v>
      </c>
    </row>
    <row r="3" spans="1:4" x14ac:dyDescent="0.25">
      <c r="A3" s="14" t="s">
        <v>34</v>
      </c>
      <c r="B3" s="7">
        <v>4023</v>
      </c>
      <c r="C3" s="7">
        <v>234</v>
      </c>
      <c r="D3" s="7">
        <v>392</v>
      </c>
    </row>
    <row r="4" spans="1:4" x14ac:dyDescent="0.25">
      <c r="A4" s="14" t="s">
        <v>35</v>
      </c>
      <c r="B4" s="7">
        <v>2941</v>
      </c>
      <c r="C4" s="7">
        <v>203</v>
      </c>
      <c r="D4" s="7">
        <v>234</v>
      </c>
    </row>
    <row r="5" spans="1:4" x14ac:dyDescent="0.25">
      <c r="A5" s="14" t="s">
        <v>36</v>
      </c>
      <c r="B5" s="7">
        <v>4021</v>
      </c>
      <c r="C5" s="7">
        <v>124</v>
      </c>
      <c r="D5" s="7">
        <v>103</v>
      </c>
    </row>
    <row r="6" spans="1:4" ht="18.75" x14ac:dyDescent="0.25">
      <c r="A6" s="15" t="s">
        <v>15</v>
      </c>
      <c r="B6" s="15">
        <f>SUM(B3:B5)</f>
        <v>10985</v>
      </c>
      <c r="C6" s="15">
        <f>SUM(C3:C5)</f>
        <v>561</v>
      </c>
      <c r="D6" s="15">
        <f>SUM(D3:D5)</f>
        <v>729</v>
      </c>
    </row>
    <row r="9" spans="1:4" x14ac:dyDescent="0.25">
      <c r="A9" s="7"/>
      <c r="B9" s="11" t="s">
        <v>31</v>
      </c>
      <c r="C9" s="11" t="s">
        <v>32</v>
      </c>
      <c r="D9" s="11" t="s">
        <v>33</v>
      </c>
    </row>
    <row r="10" spans="1:4" ht="18.75" x14ac:dyDescent="0.25">
      <c r="A10" s="15" t="s">
        <v>15</v>
      </c>
      <c r="B10" s="15">
        <f>totalcelular</f>
        <v>10985</v>
      </c>
      <c r="C10" s="15">
        <f>totaltv</f>
        <v>561</v>
      </c>
      <c r="D10" s="15">
        <f>totaldvd</f>
        <v>729</v>
      </c>
    </row>
    <row r="12" spans="1:4" ht="18.75" x14ac:dyDescent="0.25">
      <c r="B12" s="15" t="s">
        <v>8</v>
      </c>
      <c r="C12" s="15">
        <f>SUM(B10:D10)</f>
        <v>12275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B11:U20"/>
  <sheetViews>
    <sheetView showGridLines="0" topLeftCell="B1" workbookViewId="0">
      <selection activeCell="B15" sqref="B15"/>
    </sheetView>
  </sheetViews>
  <sheetFormatPr defaultRowHeight="15" x14ac:dyDescent="0.25"/>
  <cols>
    <col min="1" max="1" width="4" customWidth="1"/>
    <col min="12" max="12" width="11.5703125" customWidth="1"/>
    <col min="14" max="14" width="7.5703125" customWidth="1"/>
    <col min="15" max="15" width="2.5703125" customWidth="1"/>
    <col min="16" max="16" width="7.7109375" customWidth="1"/>
    <col min="17" max="17" width="5.28515625" customWidth="1"/>
    <col min="18" max="18" width="2.7109375" customWidth="1"/>
    <col min="19" max="19" width="8.28515625" customWidth="1"/>
    <col min="20" max="20" width="8.140625" customWidth="1"/>
  </cols>
  <sheetData>
    <row r="11" spans="2:21" x14ac:dyDescent="0.25">
      <c r="G11" s="24"/>
    </row>
    <row r="13" spans="2:21" ht="24" thickBot="1" x14ac:dyDescent="0.4">
      <c r="M13" s="18"/>
      <c r="N13" s="17"/>
      <c r="O13" s="28"/>
      <c r="P13" s="17"/>
      <c r="Q13" s="26"/>
      <c r="R13" s="26"/>
      <c r="S13" s="27"/>
      <c r="T13" s="17"/>
      <c r="U13" s="19"/>
    </row>
    <row r="14" spans="2:21" ht="27" customHeight="1" thickBot="1" x14ac:dyDescent="0.4">
      <c r="B14" s="134">
        <f>1 + (6 + 6)/3 * 4</f>
        <v>17</v>
      </c>
      <c r="C14" s="135"/>
      <c r="D14" s="135"/>
      <c r="E14" s="136"/>
      <c r="M14" s="18"/>
      <c r="N14" s="17"/>
      <c r="O14" s="18"/>
      <c r="P14" s="17"/>
      <c r="Q14" s="18"/>
      <c r="R14" s="18"/>
      <c r="S14" s="17"/>
      <c r="T14" s="17"/>
    </row>
    <row r="19" spans="2:5" ht="15.75" thickBot="1" x14ac:dyDescent="0.3"/>
    <row r="20" spans="2:5" ht="27" customHeight="1" thickBot="1" x14ac:dyDescent="0.3">
      <c r="B20" s="134">
        <f xml:space="preserve"> 2 + (5 + 7)/3 + (4 + 6)/5 * 3</f>
        <v>12</v>
      </c>
      <c r="C20" s="135"/>
      <c r="D20" s="135"/>
      <c r="E20" s="136"/>
    </row>
  </sheetData>
  <mergeCells count="2">
    <mergeCell ref="B14:E14"/>
    <mergeCell ref="B20:E20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/>
  <dimension ref="A1:H36"/>
  <sheetViews>
    <sheetView showGridLines="0" topLeftCell="A22" workbookViewId="0">
      <selection activeCell="F49" sqref="F49"/>
    </sheetView>
  </sheetViews>
  <sheetFormatPr defaultRowHeight="15" x14ac:dyDescent="0.25"/>
  <cols>
    <col min="1" max="5" width="11.42578125" customWidth="1"/>
  </cols>
  <sheetData>
    <row r="1" spans="1:8" x14ac:dyDescent="0.25">
      <c r="A1" s="14" t="s">
        <v>37</v>
      </c>
      <c r="B1" s="14" t="s">
        <v>38</v>
      </c>
      <c r="C1" s="14" t="s">
        <v>39</v>
      </c>
      <c r="D1" s="14" t="s">
        <v>40</v>
      </c>
      <c r="E1" s="14" t="s">
        <v>41</v>
      </c>
    </row>
    <row r="2" spans="1:8" ht="15.75" thickBot="1" x14ac:dyDescent="0.3">
      <c r="A2" s="20">
        <v>15</v>
      </c>
      <c r="B2" s="20">
        <v>10</v>
      </c>
      <c r="C2" s="20">
        <v>5</v>
      </c>
      <c r="D2" s="21">
        <v>2</v>
      </c>
      <c r="E2" s="21">
        <v>20</v>
      </c>
    </row>
    <row r="3" spans="1:8" ht="15.75" thickBot="1" x14ac:dyDescent="0.3">
      <c r="D3" s="22" t="s">
        <v>15</v>
      </c>
      <c r="E3" s="123">
        <f>SUM(A2:E2)</f>
        <v>52</v>
      </c>
    </row>
    <row r="9" spans="1:8" ht="15.75" thickBot="1" x14ac:dyDescent="0.3">
      <c r="A9" s="14" t="s">
        <v>39</v>
      </c>
      <c r="C9" s="14" t="s">
        <v>41</v>
      </c>
      <c r="E9" s="14" t="s">
        <v>37</v>
      </c>
    </row>
    <row r="10" spans="1:8" ht="15.75" thickBot="1" x14ac:dyDescent="0.3">
      <c r="A10" s="20">
        <v>5</v>
      </c>
      <c r="C10" s="20">
        <v>20</v>
      </c>
      <c r="E10" s="20">
        <v>10</v>
      </c>
      <c r="G10" s="22" t="s">
        <v>15</v>
      </c>
      <c r="H10" s="23">
        <f>SUM(A10:A15,C10:C15,E10:E15)</f>
        <v>265</v>
      </c>
    </row>
    <row r="11" spans="1:8" x14ac:dyDescent="0.25">
      <c r="A11" s="20">
        <v>10</v>
      </c>
      <c r="C11" s="20">
        <v>10</v>
      </c>
      <c r="E11" s="20">
        <v>30</v>
      </c>
    </row>
    <row r="12" spans="1:8" x14ac:dyDescent="0.25">
      <c r="A12" s="20">
        <v>6</v>
      </c>
      <c r="C12" s="20">
        <v>9</v>
      </c>
      <c r="E12" s="20">
        <v>60</v>
      </c>
    </row>
    <row r="13" spans="1:8" x14ac:dyDescent="0.25">
      <c r="A13" s="20">
        <v>8</v>
      </c>
      <c r="C13" s="20">
        <v>5</v>
      </c>
      <c r="E13" s="20">
        <v>21</v>
      </c>
    </row>
    <row r="14" spans="1:8" x14ac:dyDescent="0.25">
      <c r="A14" s="20">
        <v>7</v>
      </c>
      <c r="C14" s="20">
        <v>8</v>
      </c>
      <c r="E14" s="20">
        <v>14</v>
      </c>
    </row>
    <row r="15" spans="1:8" x14ac:dyDescent="0.25">
      <c r="A15" s="20">
        <v>20</v>
      </c>
      <c r="C15" s="20">
        <v>13</v>
      </c>
      <c r="E15" s="20">
        <v>9</v>
      </c>
    </row>
    <row r="18" spans="2:6" ht="15.75" thickBot="1" x14ac:dyDescent="0.3">
      <c r="B18" t="s">
        <v>88</v>
      </c>
    </row>
    <row r="19" spans="2:6" ht="15.75" thickBot="1" x14ac:dyDescent="0.3">
      <c r="C19" s="125">
        <f>SUM([1]Plan1!$D$2:$D$13)</f>
        <v>307</v>
      </c>
    </row>
    <row r="20" spans="2:6" ht="30.75" customHeight="1" thickBot="1" x14ac:dyDescent="0.3"/>
    <row r="21" spans="2:6" x14ac:dyDescent="0.25">
      <c r="B21" s="137" t="s">
        <v>110</v>
      </c>
      <c r="C21" s="138"/>
      <c r="D21" s="138"/>
      <c r="E21" s="138"/>
      <c r="F21" s="139"/>
    </row>
    <row r="22" spans="2:6" ht="15.75" thickBot="1" x14ac:dyDescent="0.3">
      <c r="B22" s="140">
        <f>SUM(pritrimestre)</f>
        <v>12275</v>
      </c>
      <c r="C22" s="141"/>
      <c r="D22" s="141"/>
      <c r="E22" s="141"/>
      <c r="F22" s="142"/>
    </row>
    <row r="29" spans="2:6" x14ac:dyDescent="0.25">
      <c r="B29" s="14" t="s">
        <v>38</v>
      </c>
    </row>
    <row r="30" spans="2:6" x14ac:dyDescent="0.25">
      <c r="B30" s="20">
        <v>10</v>
      </c>
    </row>
    <row r="31" spans="2:6" x14ac:dyDescent="0.25">
      <c r="B31" s="20">
        <v>15</v>
      </c>
    </row>
    <row r="32" spans="2:6" x14ac:dyDescent="0.25">
      <c r="B32" s="20">
        <v>20</v>
      </c>
    </row>
    <row r="33" spans="1:2" x14ac:dyDescent="0.25">
      <c r="B33" s="20">
        <v>25</v>
      </c>
    </row>
    <row r="34" spans="1:2" x14ac:dyDescent="0.25">
      <c r="B34" s="20">
        <v>30</v>
      </c>
    </row>
    <row r="35" spans="1:2" ht="15.75" thickBot="1" x14ac:dyDescent="0.3">
      <c r="B35" s="20">
        <v>40</v>
      </c>
    </row>
    <row r="36" spans="1:2" ht="15.75" thickBot="1" x14ac:dyDescent="0.3">
      <c r="A36" s="22" t="s">
        <v>15</v>
      </c>
      <c r="B36" s="123">
        <f>SUM(B30:B35)</f>
        <v>140</v>
      </c>
    </row>
  </sheetData>
  <mergeCells count="2">
    <mergeCell ref="B21:F21"/>
    <mergeCell ref="B22:F2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B12:D15"/>
  <sheetViews>
    <sheetView showGridLines="0" workbookViewId="0">
      <selection activeCell="G19" sqref="G19"/>
    </sheetView>
  </sheetViews>
  <sheetFormatPr defaultRowHeight="15" x14ac:dyDescent="0.25"/>
  <cols>
    <col min="2" max="2" width="11.5703125" customWidth="1"/>
    <col min="3" max="3" width="11.42578125" customWidth="1"/>
    <col min="4" max="4" width="11.140625" customWidth="1"/>
    <col min="13" max="13" width="12.28515625" customWidth="1"/>
    <col min="14" max="14" width="11.7109375" customWidth="1"/>
    <col min="15" max="15" width="12.140625" customWidth="1"/>
  </cols>
  <sheetData>
    <row r="12" spans="2:4" ht="18.75" x14ac:dyDescent="0.25">
      <c r="B12" s="126" t="s">
        <v>31</v>
      </c>
      <c r="C12" s="127" t="s">
        <v>32</v>
      </c>
      <c r="D12" s="128" t="s">
        <v>33</v>
      </c>
    </row>
    <row r="13" spans="2:4" ht="18.75" x14ac:dyDescent="0.25">
      <c r="B13" s="129">
        <v>4023</v>
      </c>
      <c r="C13" s="124">
        <v>234</v>
      </c>
      <c r="D13" s="130">
        <v>392</v>
      </c>
    </row>
    <row r="14" spans="2:4" ht="18.75" x14ac:dyDescent="0.25">
      <c r="B14" s="129">
        <v>2941</v>
      </c>
      <c r="C14" s="124">
        <v>203</v>
      </c>
      <c r="D14" s="130">
        <v>234</v>
      </c>
    </row>
    <row r="15" spans="2:4" ht="18.75" x14ac:dyDescent="0.25">
      <c r="B15" s="131">
        <v>4021</v>
      </c>
      <c r="C15" s="132">
        <v>124</v>
      </c>
      <c r="D15" s="133">
        <v>103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3"/>
  <dimension ref="B11:F31"/>
  <sheetViews>
    <sheetView showGridLines="0" topLeftCell="A5" zoomScaleNormal="100" workbookViewId="0">
      <selection activeCell="D31" sqref="D31"/>
    </sheetView>
  </sheetViews>
  <sheetFormatPr defaultRowHeight="15" x14ac:dyDescent="0.25"/>
  <cols>
    <col min="2" max="3" width="14.42578125" customWidth="1"/>
    <col min="4" max="4" width="31.28515625" customWidth="1"/>
  </cols>
  <sheetData>
    <row r="11" spans="2:5" x14ac:dyDescent="0.25">
      <c r="B11" s="2"/>
      <c r="C11" s="2"/>
      <c r="D11" s="2"/>
      <c r="E11" s="2"/>
    </row>
    <row r="12" spans="2:5" ht="15" customHeight="1" x14ac:dyDescent="0.25">
      <c r="B12" s="54" t="s">
        <v>42</v>
      </c>
      <c r="C12" s="2"/>
      <c r="D12" s="2"/>
      <c r="E12" s="2"/>
    </row>
    <row r="13" spans="2:5" x14ac:dyDescent="0.25">
      <c r="B13" s="2"/>
      <c r="C13" s="2"/>
      <c r="D13" s="2"/>
      <c r="E13" s="2"/>
    </row>
    <row r="18" spans="2:6" x14ac:dyDescent="0.25">
      <c r="B18" s="2"/>
      <c r="C18" s="2"/>
      <c r="D18" s="2"/>
      <c r="E18" s="2"/>
      <c r="F18" s="2"/>
    </row>
    <row r="19" spans="2:6" ht="75" x14ac:dyDescent="0.3">
      <c r="B19" s="2"/>
      <c r="C19" s="171" t="s">
        <v>43</v>
      </c>
      <c r="D19" s="172"/>
      <c r="E19" s="2"/>
      <c r="F19" s="2"/>
    </row>
    <row r="20" spans="2:6" x14ac:dyDescent="0.25">
      <c r="B20" s="2"/>
      <c r="C20" s="2"/>
      <c r="D20" s="2"/>
      <c r="E20" s="2"/>
      <c r="F20" s="2"/>
    </row>
    <row r="25" spans="2:6" x14ac:dyDescent="0.25">
      <c r="B25" s="2"/>
      <c r="C25" s="2"/>
      <c r="D25" s="2"/>
      <c r="E25" s="2"/>
      <c r="F25" s="2"/>
    </row>
    <row r="26" spans="2:6" ht="18.75" x14ac:dyDescent="0.3">
      <c r="B26" s="2"/>
      <c r="C26" s="2"/>
      <c r="D26" s="173" t="s">
        <v>43</v>
      </c>
      <c r="E26" s="30"/>
      <c r="F26" s="2"/>
    </row>
    <row r="27" spans="2:6" x14ac:dyDescent="0.25">
      <c r="B27" s="2"/>
      <c r="C27" s="2"/>
      <c r="D27" s="2"/>
      <c r="E27" s="2"/>
      <c r="F27" s="2"/>
    </row>
    <row r="31" spans="2:6" ht="93.75" x14ac:dyDescent="0.3">
      <c r="C31" s="171" t="s">
        <v>170</v>
      </c>
      <c r="D31" s="2"/>
    </row>
  </sheetData>
  <pageMargins left="0.511811024" right="0.511811024" top="0.78740157499999996" bottom="0.78740157499999996" header="0.31496062000000002" footer="0.31496062000000002"/>
  <pageSetup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0"/>
  <dimension ref="B12:L31"/>
  <sheetViews>
    <sheetView showGridLines="0" workbookViewId="0">
      <selection activeCell="K30" sqref="K30"/>
    </sheetView>
  </sheetViews>
  <sheetFormatPr defaultRowHeight="15" x14ac:dyDescent="0.25"/>
  <cols>
    <col min="1" max="1" width="5.140625" customWidth="1"/>
    <col min="2" max="4" width="18.42578125" customWidth="1"/>
    <col min="6" max="8" width="5.28515625" customWidth="1"/>
    <col min="10" max="11" width="16.85546875" customWidth="1"/>
    <col min="12" max="12" width="14.42578125" customWidth="1"/>
  </cols>
  <sheetData>
    <row r="12" spans="2:12" ht="15.75" x14ac:dyDescent="0.25">
      <c r="B12" s="174" t="s">
        <v>49</v>
      </c>
      <c r="C12" s="175"/>
      <c r="D12" s="176"/>
      <c r="J12" s="143" t="s">
        <v>111</v>
      </c>
      <c r="K12" s="143"/>
    </row>
    <row r="13" spans="2:12" x14ac:dyDescent="0.25">
      <c r="B13" s="35" t="s">
        <v>0</v>
      </c>
      <c r="C13" s="35" t="s">
        <v>50</v>
      </c>
      <c r="D13" s="35" t="s">
        <v>51</v>
      </c>
      <c r="J13" s="180" t="s">
        <v>112</v>
      </c>
      <c r="K13" s="181"/>
      <c r="L13" s="2">
        <v>123</v>
      </c>
    </row>
    <row r="14" spans="2:12" x14ac:dyDescent="0.25">
      <c r="B14" s="20" t="s">
        <v>3</v>
      </c>
      <c r="C14" s="20">
        <v>1</v>
      </c>
      <c r="D14" s="34">
        <v>20</v>
      </c>
      <c r="J14" s="180" t="s">
        <v>17</v>
      </c>
      <c r="K14" s="181"/>
      <c r="L14" s="2">
        <v>13</v>
      </c>
    </row>
    <row r="15" spans="2:12" x14ac:dyDescent="0.25">
      <c r="B15" s="20" t="s">
        <v>5</v>
      </c>
      <c r="C15" s="20">
        <v>2</v>
      </c>
      <c r="D15" s="34">
        <v>30</v>
      </c>
      <c r="J15" s="180" t="s">
        <v>16</v>
      </c>
      <c r="K15" s="181"/>
      <c r="L15" s="2">
        <v>12</v>
      </c>
    </row>
    <row r="16" spans="2:12" x14ac:dyDescent="0.25">
      <c r="B16" s="20" t="s">
        <v>4</v>
      </c>
      <c r="C16" s="20">
        <v>3</v>
      </c>
      <c r="D16" s="34">
        <v>50</v>
      </c>
    </row>
    <row r="22" spans="2:4" x14ac:dyDescent="0.25">
      <c r="B22" s="35" t="s">
        <v>0</v>
      </c>
      <c r="C22" s="35" t="s">
        <v>50</v>
      </c>
      <c r="D22" s="35" t="s">
        <v>51</v>
      </c>
    </row>
    <row r="23" spans="2:4" x14ac:dyDescent="0.25">
      <c r="B23" s="177" t="s">
        <v>52</v>
      </c>
      <c r="C23" s="20">
        <v>1</v>
      </c>
      <c r="D23" s="34">
        <v>20</v>
      </c>
    </row>
    <row r="24" spans="2:4" x14ac:dyDescent="0.25">
      <c r="B24" s="178"/>
      <c r="C24" s="20">
        <v>2</v>
      </c>
      <c r="D24" s="34">
        <v>30</v>
      </c>
    </row>
    <row r="25" spans="2:4" x14ac:dyDescent="0.25">
      <c r="B25" s="179"/>
      <c r="C25" s="20">
        <v>3</v>
      </c>
      <c r="D25" s="34">
        <v>50</v>
      </c>
    </row>
    <row r="26" spans="2:4" x14ac:dyDescent="0.25">
      <c r="B26" s="177" t="s">
        <v>21</v>
      </c>
      <c r="C26" s="20">
        <v>3</v>
      </c>
      <c r="D26" s="34">
        <v>10</v>
      </c>
    </row>
    <row r="27" spans="2:4" x14ac:dyDescent="0.25">
      <c r="B27" s="178"/>
      <c r="C27" s="20">
        <v>4</v>
      </c>
      <c r="D27" s="34">
        <v>55</v>
      </c>
    </row>
    <row r="28" spans="2:4" x14ac:dyDescent="0.25">
      <c r="B28" s="179"/>
      <c r="C28" s="20">
        <v>6</v>
      </c>
      <c r="D28" s="34">
        <v>60</v>
      </c>
    </row>
    <row r="29" spans="2:4" x14ac:dyDescent="0.25">
      <c r="B29" s="177" t="s">
        <v>53</v>
      </c>
      <c r="C29" s="20">
        <v>8</v>
      </c>
      <c r="D29" s="34">
        <v>33</v>
      </c>
    </row>
    <row r="30" spans="2:4" x14ac:dyDescent="0.25">
      <c r="B30" s="178"/>
      <c r="C30" s="20">
        <v>9</v>
      </c>
      <c r="D30" s="34">
        <v>78</v>
      </c>
    </row>
    <row r="31" spans="2:4" x14ac:dyDescent="0.25">
      <c r="B31" s="179"/>
      <c r="C31" s="20">
        <v>7</v>
      </c>
      <c r="D31" s="34">
        <v>65</v>
      </c>
    </row>
  </sheetData>
  <mergeCells count="8">
    <mergeCell ref="J12:K12"/>
    <mergeCell ref="B12:D12"/>
    <mergeCell ref="B23:B25"/>
    <mergeCell ref="B26:B28"/>
    <mergeCell ref="B29:B31"/>
    <mergeCell ref="J13:K13"/>
    <mergeCell ref="J14:K14"/>
    <mergeCell ref="J15:K15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4"/>
  <dimension ref="B12:D30"/>
  <sheetViews>
    <sheetView showGridLines="0" zoomScaleNormal="100" zoomScaleSheetLayoutView="100" workbookViewId="0">
      <selection activeCell="H24" sqref="H24"/>
    </sheetView>
  </sheetViews>
  <sheetFormatPr defaultRowHeight="15" x14ac:dyDescent="0.25"/>
  <cols>
    <col min="2" max="3" width="12.85546875" customWidth="1"/>
    <col min="4" max="4" width="12.28515625" customWidth="1"/>
    <col min="9" max="9" width="9.140625" customWidth="1"/>
    <col min="11" max="11" width="40" customWidth="1"/>
    <col min="12" max="12" width="31.140625" customWidth="1"/>
  </cols>
  <sheetData>
    <row r="12" spans="2:4" ht="27" customHeight="1" x14ac:dyDescent="0.25">
      <c r="B12" s="182" t="s">
        <v>31</v>
      </c>
      <c r="C12" s="182" t="s">
        <v>32</v>
      </c>
      <c r="D12" s="182" t="s">
        <v>33</v>
      </c>
    </row>
    <row r="13" spans="2:4" x14ac:dyDescent="0.25">
      <c r="B13" s="7">
        <v>4023</v>
      </c>
      <c r="C13" s="7">
        <v>234</v>
      </c>
      <c r="D13" s="7">
        <v>392</v>
      </c>
    </row>
    <row r="14" spans="2:4" x14ac:dyDescent="0.25">
      <c r="B14" s="7">
        <v>2941</v>
      </c>
      <c r="C14" s="7">
        <v>203</v>
      </c>
      <c r="D14" s="7">
        <v>234</v>
      </c>
    </row>
    <row r="15" spans="2:4" x14ac:dyDescent="0.25">
      <c r="B15" s="7">
        <v>4021</v>
      </c>
      <c r="C15" s="7">
        <v>124</v>
      </c>
      <c r="D15" s="7">
        <v>103</v>
      </c>
    </row>
    <row r="19" spans="2:4" ht="18.75" x14ac:dyDescent="0.25">
      <c r="B19" s="183" t="s">
        <v>31</v>
      </c>
      <c r="C19" s="183" t="s">
        <v>32</v>
      </c>
      <c r="D19" s="183" t="s">
        <v>33</v>
      </c>
    </row>
    <row r="20" spans="2:4" ht="18.75" x14ac:dyDescent="0.25">
      <c r="B20" s="31">
        <v>4023</v>
      </c>
      <c r="C20" s="31">
        <v>234</v>
      </c>
      <c r="D20" s="31">
        <v>392</v>
      </c>
    </row>
    <row r="21" spans="2:4" ht="18.75" x14ac:dyDescent="0.25">
      <c r="B21" s="31">
        <v>2941</v>
      </c>
      <c r="C21" s="31">
        <v>203</v>
      </c>
      <c r="D21" s="31">
        <v>234</v>
      </c>
    </row>
    <row r="22" spans="2:4" ht="18.75" x14ac:dyDescent="0.25">
      <c r="B22" s="31">
        <v>4021</v>
      </c>
      <c r="C22" s="31">
        <v>124</v>
      </c>
      <c r="D22" s="31">
        <v>103</v>
      </c>
    </row>
    <row r="28" spans="2:4" ht="18.75" x14ac:dyDescent="0.25">
      <c r="B28" s="29"/>
      <c r="C28" s="29"/>
      <c r="D28" s="29"/>
    </row>
    <row r="29" spans="2:4" ht="18.75" x14ac:dyDescent="0.25">
      <c r="B29" s="29"/>
      <c r="C29" s="29"/>
      <c r="D29" s="29"/>
    </row>
    <row r="30" spans="2:4" ht="18.75" x14ac:dyDescent="0.25">
      <c r="B30" s="29"/>
      <c r="C30" s="29"/>
      <c r="D30" s="29"/>
    </row>
  </sheetData>
  <conditionalFormatting sqref="B12:D12">
    <cfRule type="colorScale" priority="1">
      <colorScale>
        <cfvo type="min"/>
        <cfvo type="max"/>
        <color rgb="FF63BE7B"/>
        <color rgb="FFFCFCFF"/>
      </colorScale>
    </cfRule>
  </conditionalFormatting>
  <pageMargins left="0.511811024" right="0.511811024" top="0.78740157499999996" bottom="0.78740157499999996" header="0.31496062000000002" footer="0.31496062000000002"/>
  <pageSetup scale="67" orientation="portrait" r:id="rId1"/>
  <colBreaks count="1" manualBreakCount="1">
    <brk id="11" max="29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5"/>
  <dimension ref="B12:H15"/>
  <sheetViews>
    <sheetView showGridLines="0" zoomScaleNormal="100" zoomScaleSheetLayoutView="100" workbookViewId="0">
      <selection activeCell="K23" sqref="K23"/>
    </sheetView>
  </sheetViews>
  <sheetFormatPr defaultColWidth="9.42578125" defaultRowHeight="15" x14ac:dyDescent="0.25"/>
  <sheetData>
    <row r="12" spans="2:8" ht="18.75" x14ac:dyDescent="0.25">
      <c r="B12" s="49" t="s">
        <v>31</v>
      </c>
      <c r="C12" s="49" t="s">
        <v>32</v>
      </c>
      <c r="D12" s="49" t="s">
        <v>33</v>
      </c>
      <c r="F12" s="49" t="s">
        <v>31</v>
      </c>
      <c r="G12" s="49" t="s">
        <v>32</v>
      </c>
      <c r="H12" s="49" t="s">
        <v>33</v>
      </c>
    </row>
    <row r="13" spans="2:8" ht="18.75" x14ac:dyDescent="0.25">
      <c r="B13" s="31">
        <v>4023</v>
      </c>
      <c r="C13" s="31">
        <v>234</v>
      </c>
      <c r="D13" s="31">
        <v>392</v>
      </c>
      <c r="F13" s="31">
        <v>4023</v>
      </c>
      <c r="G13" s="31">
        <v>234</v>
      </c>
      <c r="H13" s="31">
        <v>392</v>
      </c>
    </row>
    <row r="14" spans="2:8" ht="18.75" x14ac:dyDescent="0.25">
      <c r="B14" s="31">
        <v>2941</v>
      </c>
      <c r="C14" s="31">
        <v>203</v>
      </c>
      <c r="D14" s="31">
        <v>234</v>
      </c>
      <c r="F14" s="31">
        <v>2941</v>
      </c>
      <c r="G14" s="31">
        <v>203</v>
      </c>
      <c r="H14" s="31">
        <v>234</v>
      </c>
    </row>
    <row r="15" spans="2:8" ht="18.75" x14ac:dyDescent="0.25">
      <c r="B15" s="31">
        <v>4021</v>
      </c>
      <c r="C15" s="31">
        <v>124</v>
      </c>
      <c r="D15" s="31">
        <v>103</v>
      </c>
      <c r="F15" s="31">
        <v>4021</v>
      </c>
      <c r="G15" s="31">
        <v>124</v>
      </c>
      <c r="H15" s="31">
        <v>103</v>
      </c>
    </row>
  </sheetData>
  <pageMargins left="0.511811024" right="0.511811024" top="0.78740157499999996" bottom="0.78740157499999996" header="0.31496062000000002" footer="0.31496062000000002"/>
  <pageSetup scale="67" orientation="portrait" verticalDpi="0" r:id="rId1"/>
  <colBreaks count="1" manualBreakCount="1">
    <brk id="11" max="29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6"/>
  <dimension ref="B12:D27"/>
  <sheetViews>
    <sheetView showGridLines="0" workbookViewId="0">
      <selection activeCell="C27" sqref="C27"/>
    </sheetView>
  </sheetViews>
  <sheetFormatPr defaultRowHeight="15" x14ac:dyDescent="0.25"/>
  <cols>
    <col min="2" max="2" width="21" customWidth="1"/>
    <col min="4" max="4" width="20.42578125" customWidth="1"/>
  </cols>
  <sheetData>
    <row r="12" spans="2:4" ht="18.75" x14ac:dyDescent="0.3">
      <c r="B12" s="33" t="s">
        <v>75</v>
      </c>
      <c r="C12" s="16"/>
      <c r="D12" s="33" t="s">
        <v>76</v>
      </c>
    </row>
    <row r="13" spans="2:4" ht="18.75" x14ac:dyDescent="0.3">
      <c r="B13" s="186">
        <v>1000</v>
      </c>
      <c r="C13" s="16"/>
      <c r="D13" s="184">
        <v>1000</v>
      </c>
    </row>
    <row r="14" spans="2:4" ht="18.75" x14ac:dyDescent="0.3">
      <c r="B14" s="186">
        <v>100</v>
      </c>
      <c r="C14" s="16"/>
      <c r="D14" s="184">
        <v>100</v>
      </c>
    </row>
    <row r="15" spans="2:4" ht="18.75" x14ac:dyDescent="0.3">
      <c r="B15" s="186">
        <v>10</v>
      </c>
      <c r="C15" s="16"/>
      <c r="D15" s="184">
        <v>10</v>
      </c>
    </row>
    <row r="16" spans="2:4" ht="18.75" x14ac:dyDescent="0.3">
      <c r="B16" s="186">
        <v>1</v>
      </c>
      <c r="C16" s="16"/>
      <c r="D16" s="184">
        <v>1</v>
      </c>
    </row>
    <row r="17" spans="2:4" ht="18.75" x14ac:dyDescent="0.3">
      <c r="B17" s="187">
        <v>0</v>
      </c>
      <c r="D17" s="185">
        <v>0</v>
      </c>
    </row>
    <row r="22" spans="2:4" ht="18.75" x14ac:dyDescent="0.3">
      <c r="B22" s="33" t="s">
        <v>44</v>
      </c>
    </row>
    <row r="23" spans="2:4" ht="18.75" x14ac:dyDescent="0.3">
      <c r="B23" s="188">
        <v>-99</v>
      </c>
    </row>
    <row r="24" spans="2:4" ht="18.75" x14ac:dyDescent="0.3">
      <c r="B24" s="188">
        <v>-93</v>
      </c>
    </row>
    <row r="25" spans="2:4" ht="18.75" x14ac:dyDescent="0.3">
      <c r="B25" s="188">
        <v>1013</v>
      </c>
    </row>
    <row r="26" spans="2:4" ht="18.75" x14ac:dyDescent="0.3">
      <c r="B26" s="188">
        <v>234</v>
      </c>
    </row>
    <row r="27" spans="2:4" ht="18.75" x14ac:dyDescent="0.3">
      <c r="B27" s="188">
        <v>12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7"/>
  <dimension ref="B1:T17"/>
  <sheetViews>
    <sheetView showGridLines="0" tabSelected="1" workbookViewId="0">
      <selection activeCell="H23" sqref="H23"/>
    </sheetView>
  </sheetViews>
  <sheetFormatPr defaultRowHeight="18.75" x14ac:dyDescent="0.3"/>
  <cols>
    <col min="2" max="2" width="30" customWidth="1"/>
    <col min="3" max="3" width="5.85546875" customWidth="1"/>
    <col min="4" max="4" width="3.7109375" customWidth="1"/>
    <col min="13" max="13" width="27" style="76" customWidth="1"/>
    <col min="18" max="18" width="16.42578125" customWidth="1"/>
    <col min="19" max="19" width="31.85546875" customWidth="1"/>
    <col min="20" max="20" width="23.7109375" customWidth="1"/>
  </cols>
  <sheetData>
    <row r="1" spans="2:20" x14ac:dyDescent="0.3">
      <c r="M1" s="76">
        <v>4654654654</v>
      </c>
      <c r="R1" s="114" t="s">
        <v>159</v>
      </c>
      <c r="S1" s="114" t="s">
        <v>160</v>
      </c>
      <c r="T1" s="114" t="s">
        <v>161</v>
      </c>
    </row>
    <row r="2" spans="2:20" x14ac:dyDescent="0.3">
      <c r="M2" s="76">
        <v>465465465</v>
      </c>
      <c r="R2" s="115">
        <v>1000</v>
      </c>
      <c r="S2" s="116" t="s">
        <v>162</v>
      </c>
      <c r="T2" s="190">
        <v>1000</v>
      </c>
    </row>
    <row r="3" spans="2:20" x14ac:dyDescent="0.3">
      <c r="M3" s="76">
        <v>321354654</v>
      </c>
      <c r="R3" s="115">
        <v>100000.5</v>
      </c>
      <c r="S3" s="116" t="s">
        <v>162</v>
      </c>
      <c r="T3" s="190">
        <v>10000000</v>
      </c>
    </row>
    <row r="4" spans="2:20" x14ac:dyDescent="0.3">
      <c r="M4" s="76">
        <v>68798798</v>
      </c>
      <c r="R4" s="115">
        <v>1000.5</v>
      </c>
      <c r="S4" s="116" t="s">
        <v>163</v>
      </c>
      <c r="T4" s="191">
        <v>100000</v>
      </c>
    </row>
    <row r="5" spans="2:20" x14ac:dyDescent="0.3">
      <c r="R5" s="115">
        <v>100000.5</v>
      </c>
      <c r="S5" s="116" t="s">
        <v>163</v>
      </c>
      <c r="T5" s="191">
        <v>100000</v>
      </c>
    </row>
    <row r="6" spans="2:20" x14ac:dyDescent="0.3">
      <c r="R6" s="115">
        <v>100000.9</v>
      </c>
      <c r="S6" s="116" t="s">
        <v>164</v>
      </c>
      <c r="T6" s="192">
        <v>3030303</v>
      </c>
    </row>
    <row r="7" spans="2:20" x14ac:dyDescent="0.3">
      <c r="R7" s="115">
        <v>10500</v>
      </c>
      <c r="S7" s="116" t="s">
        <v>165</v>
      </c>
      <c r="T7" s="193">
        <v>30303030</v>
      </c>
    </row>
    <row r="8" spans="2:20" x14ac:dyDescent="0.3">
      <c r="R8" s="115">
        <v>10500000</v>
      </c>
      <c r="S8" s="116" t="s">
        <v>166</v>
      </c>
      <c r="T8" s="194">
        <v>30303030303</v>
      </c>
    </row>
    <row r="9" spans="2:20" x14ac:dyDescent="0.3">
      <c r="R9" s="115">
        <v>10500000</v>
      </c>
      <c r="S9" s="116" t="s">
        <v>167</v>
      </c>
      <c r="T9" s="195">
        <v>303030303</v>
      </c>
    </row>
    <row r="10" spans="2:20" ht="18" customHeight="1" x14ac:dyDescent="0.3">
      <c r="R10" s="115">
        <v>10500000</v>
      </c>
      <c r="S10" s="116" t="s">
        <v>168</v>
      </c>
      <c r="T10" s="196">
        <v>303030303</v>
      </c>
    </row>
    <row r="11" spans="2:20" ht="19.5" thickBot="1" x14ac:dyDescent="0.35">
      <c r="E11" s="201"/>
    </row>
    <row r="12" spans="2:20" ht="19.5" thickBot="1" x14ac:dyDescent="0.35">
      <c r="B12" s="189">
        <v>42375401000162</v>
      </c>
    </row>
    <row r="14" spans="2:20" x14ac:dyDescent="0.3">
      <c r="C14" s="199">
        <v>5</v>
      </c>
    </row>
    <row r="15" spans="2:20" x14ac:dyDescent="0.3">
      <c r="C15" s="199">
        <v>6</v>
      </c>
    </row>
    <row r="16" spans="2:20" x14ac:dyDescent="0.3">
      <c r="C16" s="199">
        <v>6</v>
      </c>
    </row>
    <row r="17" spans="2:3" x14ac:dyDescent="0.3">
      <c r="B17" s="106" t="s">
        <v>15</v>
      </c>
      <c r="C17" s="200">
        <f>SUM(C14:C16)</f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8"/>
  <dimension ref="B14:H19"/>
  <sheetViews>
    <sheetView showGridLines="0" workbookViewId="0">
      <selection activeCell="B20" sqref="B20"/>
    </sheetView>
  </sheetViews>
  <sheetFormatPr defaultRowHeight="15" x14ac:dyDescent="0.25"/>
  <sheetData>
    <row r="14" spans="2:8" ht="18.75" x14ac:dyDescent="0.3">
      <c r="B14" s="197" t="s">
        <v>171</v>
      </c>
      <c r="C14" s="197"/>
      <c r="D14" s="197"/>
      <c r="F14" s="198" t="s">
        <v>172</v>
      </c>
      <c r="G14" s="197"/>
      <c r="H14" s="197"/>
    </row>
    <row r="19" spans="2:8" ht="18.75" x14ac:dyDescent="0.3">
      <c r="B19" s="197" t="s">
        <v>174</v>
      </c>
      <c r="C19" s="197"/>
      <c r="D19" s="197"/>
      <c r="F19" s="198" t="s">
        <v>173</v>
      </c>
      <c r="G19" s="197"/>
      <c r="H19" s="197"/>
    </row>
  </sheetData>
  <mergeCells count="4">
    <mergeCell ref="B14:D14"/>
    <mergeCell ref="B19:D19"/>
    <mergeCell ref="F14:H14"/>
    <mergeCell ref="F19:H19"/>
  </mergeCell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9"/>
  <dimension ref="B8:J50"/>
  <sheetViews>
    <sheetView showGridLines="0" workbookViewId="0"/>
  </sheetViews>
  <sheetFormatPr defaultRowHeight="15" x14ac:dyDescent="0.25"/>
  <cols>
    <col min="2" max="2" width="21.7109375" customWidth="1"/>
    <col min="3" max="3" width="10.7109375" bestFit="1" customWidth="1"/>
    <col min="8" max="8" width="22.140625" bestFit="1" customWidth="1"/>
    <col min="10" max="10" width="21.7109375" customWidth="1"/>
  </cols>
  <sheetData>
    <row r="8" spans="2:8" ht="15.75" thickBot="1" x14ac:dyDescent="0.3"/>
    <row r="9" spans="2:8" s="16" customFormat="1" ht="19.5" thickBot="1" x14ac:dyDescent="0.35">
      <c r="C9" s="153" t="s">
        <v>78</v>
      </c>
      <c r="D9" s="153"/>
      <c r="E9" s="154"/>
      <c r="F9" s="152"/>
      <c r="G9" s="151"/>
      <c r="H9" s="77"/>
    </row>
    <row r="10" spans="2:8" s="16" customFormat="1" ht="19.5" thickBot="1" x14ac:dyDescent="0.35">
      <c r="B10" s="155" t="s">
        <v>79</v>
      </c>
      <c r="C10" s="155"/>
      <c r="D10" s="155"/>
      <c r="E10" s="155"/>
      <c r="F10" s="156"/>
      <c r="G10" s="151"/>
      <c r="H10" s="78"/>
    </row>
    <row r="12" spans="2:8" ht="15.75" thickBot="1" x14ac:dyDescent="0.3"/>
    <row r="13" spans="2:8" ht="19.5" thickBot="1" x14ac:dyDescent="0.35">
      <c r="C13" s="153" t="s">
        <v>157</v>
      </c>
      <c r="D13" s="153"/>
      <c r="E13" s="154"/>
      <c r="F13" s="152"/>
      <c r="G13" s="151"/>
    </row>
    <row r="14" spans="2:8" ht="19.5" thickBot="1" x14ac:dyDescent="0.35">
      <c r="C14" s="153" t="s">
        <v>158</v>
      </c>
      <c r="D14" s="153"/>
      <c r="E14" s="154"/>
      <c r="F14" s="156"/>
      <c r="G14" s="151"/>
    </row>
    <row r="15" spans="2:8" ht="15.75" thickBot="1" x14ac:dyDescent="0.3"/>
    <row r="16" spans="2:8" ht="19.5" thickBot="1" x14ac:dyDescent="0.35">
      <c r="B16" s="155" t="s">
        <v>150</v>
      </c>
      <c r="C16" s="155"/>
      <c r="D16" s="155"/>
      <c r="E16" s="155"/>
      <c r="F16" s="152">
        <v>42587</v>
      </c>
      <c r="G16" s="157"/>
    </row>
    <row r="17" spans="2:10" ht="15.75" thickBot="1" x14ac:dyDescent="0.3"/>
    <row r="18" spans="2:10" ht="19.5" thickBot="1" x14ac:dyDescent="0.35">
      <c r="F18" s="150"/>
      <c r="G18" s="151"/>
    </row>
    <row r="19" spans="2:10" ht="19.5" thickBot="1" x14ac:dyDescent="0.35">
      <c r="F19" s="150"/>
      <c r="G19" s="151"/>
    </row>
    <row r="20" spans="2:10" ht="19.5" thickBot="1" x14ac:dyDescent="0.35">
      <c r="F20" s="150"/>
      <c r="G20" s="151"/>
    </row>
    <row r="25" spans="2:10" x14ac:dyDescent="0.25">
      <c r="B25" s="2" t="s">
        <v>77</v>
      </c>
      <c r="C25" s="144">
        <v>41910</v>
      </c>
      <c r="D25" s="145"/>
      <c r="H25" s="2" t="s">
        <v>151</v>
      </c>
      <c r="I25" s="144"/>
      <c r="J25" s="145"/>
    </row>
    <row r="26" spans="2:10" ht="15.75" thickBot="1" x14ac:dyDescent="0.3">
      <c r="B26" s="36" t="s">
        <v>47</v>
      </c>
      <c r="C26" s="146">
        <v>42587</v>
      </c>
      <c r="D26" s="147"/>
      <c r="H26" s="36" t="s">
        <v>152</v>
      </c>
      <c r="I26" s="146">
        <v>42587</v>
      </c>
      <c r="J26" s="147"/>
    </row>
    <row r="27" spans="2:10" ht="15.75" thickBot="1" x14ac:dyDescent="0.3">
      <c r="B27" s="23" t="s">
        <v>15</v>
      </c>
      <c r="C27" s="148"/>
      <c r="D27" s="149"/>
      <c r="H27" s="23" t="s">
        <v>15</v>
      </c>
      <c r="I27" s="148"/>
      <c r="J27" s="149"/>
    </row>
    <row r="35" spans="2:4" ht="15.75" thickBot="1" x14ac:dyDescent="0.3">
      <c r="B35" s="2" t="s">
        <v>153</v>
      </c>
      <c r="C35" s="144">
        <v>42587</v>
      </c>
      <c r="D35" s="145"/>
    </row>
    <row r="36" spans="2:4" ht="15.75" thickBot="1" x14ac:dyDescent="0.3">
      <c r="B36" s="23" t="s">
        <v>48</v>
      </c>
      <c r="C36" s="158"/>
      <c r="D36" s="149"/>
    </row>
    <row r="42" spans="2:4" x14ac:dyDescent="0.25">
      <c r="B42" s="2" t="s">
        <v>45</v>
      </c>
      <c r="C42" s="159"/>
      <c r="D42" s="160"/>
    </row>
    <row r="43" spans="2:4" ht="15.75" thickBot="1" x14ac:dyDescent="0.3">
      <c r="B43" s="36" t="s">
        <v>46</v>
      </c>
      <c r="C43" s="161"/>
      <c r="D43" s="162"/>
    </row>
    <row r="44" spans="2:4" ht="15.75" thickBot="1" x14ac:dyDescent="0.3">
      <c r="B44" s="23" t="s">
        <v>15</v>
      </c>
      <c r="C44" s="148"/>
      <c r="D44" s="149"/>
    </row>
    <row r="49" spans="2:3" ht="33" customHeight="1" x14ac:dyDescent="0.25">
      <c r="B49" s="112" t="s">
        <v>155</v>
      </c>
      <c r="C49" s="113">
        <v>100</v>
      </c>
    </row>
    <row r="50" spans="2:3" ht="33" customHeight="1" x14ac:dyDescent="0.25">
      <c r="B50" s="112" t="s">
        <v>156</v>
      </c>
      <c r="C50" s="80">
        <v>100</v>
      </c>
    </row>
  </sheetData>
  <mergeCells count="24">
    <mergeCell ref="C44:D44"/>
    <mergeCell ref="C35:D35"/>
    <mergeCell ref="C36:D36"/>
    <mergeCell ref="C25:D25"/>
    <mergeCell ref="C26:D26"/>
    <mergeCell ref="C27:D27"/>
    <mergeCell ref="C42:D42"/>
    <mergeCell ref="C43:D43"/>
    <mergeCell ref="F9:G9"/>
    <mergeCell ref="C9:E9"/>
    <mergeCell ref="B10:E10"/>
    <mergeCell ref="F10:G10"/>
    <mergeCell ref="B16:E16"/>
    <mergeCell ref="F16:G16"/>
    <mergeCell ref="C13:E13"/>
    <mergeCell ref="C14:E14"/>
    <mergeCell ref="F13:G13"/>
    <mergeCell ref="F14:G14"/>
    <mergeCell ref="I25:J25"/>
    <mergeCell ref="I26:J26"/>
    <mergeCell ref="I27:J27"/>
    <mergeCell ref="F18:G18"/>
    <mergeCell ref="F19:G19"/>
    <mergeCell ref="F20:G20"/>
  </mergeCell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1"/>
  <dimension ref="A11:K29"/>
  <sheetViews>
    <sheetView showGridLines="0" workbookViewId="0"/>
  </sheetViews>
  <sheetFormatPr defaultRowHeight="15" x14ac:dyDescent="0.25"/>
  <cols>
    <col min="2" max="2" width="13.7109375" customWidth="1"/>
    <col min="3" max="6" width="14.42578125" customWidth="1"/>
    <col min="9" max="11" width="14.42578125" customWidth="1"/>
  </cols>
  <sheetData>
    <row r="11" spans="1:11" x14ac:dyDescent="0.25">
      <c r="B11" s="20" t="s">
        <v>80</v>
      </c>
      <c r="C11" s="20" t="s">
        <v>81</v>
      </c>
      <c r="D11" s="38" t="s">
        <v>15</v>
      </c>
      <c r="I11" s="20" t="s">
        <v>54</v>
      </c>
      <c r="J11" s="20" t="s">
        <v>55</v>
      </c>
      <c r="K11" s="38" t="s">
        <v>15</v>
      </c>
    </row>
    <row r="12" spans="1:11" ht="18.75" x14ac:dyDescent="0.3">
      <c r="A12" t="s">
        <v>83</v>
      </c>
      <c r="B12" s="37">
        <v>10</v>
      </c>
      <c r="C12" s="37">
        <v>10</v>
      </c>
      <c r="D12" s="33">
        <f>B12+C12</f>
        <v>20</v>
      </c>
      <c r="I12" s="37">
        <v>10</v>
      </c>
      <c r="J12" s="37">
        <v>10</v>
      </c>
      <c r="K12" s="33">
        <f>I12+J12</f>
        <v>20</v>
      </c>
    </row>
    <row r="14" spans="1:11" x14ac:dyDescent="0.25">
      <c r="D14" s="39"/>
      <c r="K14" s="39"/>
    </row>
    <row r="15" spans="1:11" ht="18.75" x14ac:dyDescent="0.3">
      <c r="A15" t="s">
        <v>82</v>
      </c>
      <c r="B15" s="37"/>
      <c r="D15" s="37"/>
      <c r="H15" t="s">
        <v>82</v>
      </c>
      <c r="I15" s="2"/>
    </row>
    <row r="17" spans="2:11" x14ac:dyDescent="0.25">
      <c r="D17" s="39" t="s">
        <v>15</v>
      </c>
      <c r="K17" s="39" t="s">
        <v>15</v>
      </c>
    </row>
    <row r="18" spans="2:11" ht="18.75" x14ac:dyDescent="0.3">
      <c r="D18" s="33"/>
      <c r="K18" s="2"/>
    </row>
    <row r="23" spans="2:11" x14ac:dyDescent="0.25">
      <c r="C23" s="40" t="s">
        <v>56</v>
      </c>
      <c r="D23" s="40" t="s">
        <v>57</v>
      </c>
      <c r="E23" s="40" t="s">
        <v>58</v>
      </c>
      <c r="F23" s="40" t="s">
        <v>59</v>
      </c>
    </row>
    <row r="24" spans="2:11" x14ac:dyDescent="0.25">
      <c r="C24" s="20">
        <v>1</v>
      </c>
      <c r="D24" s="20">
        <v>10</v>
      </c>
      <c r="E24" s="20">
        <v>10</v>
      </c>
      <c r="F24" s="20">
        <v>10</v>
      </c>
    </row>
    <row r="25" spans="2:11" x14ac:dyDescent="0.25">
      <c r="C25" s="20">
        <v>102</v>
      </c>
      <c r="D25" s="20">
        <v>2</v>
      </c>
      <c r="E25" s="20">
        <v>102</v>
      </c>
      <c r="F25" s="20">
        <v>42</v>
      </c>
    </row>
    <row r="26" spans="2:11" x14ac:dyDescent="0.25">
      <c r="C26" s="20">
        <v>203</v>
      </c>
      <c r="D26" s="20">
        <v>3</v>
      </c>
      <c r="E26" s="20">
        <v>43</v>
      </c>
      <c r="F26" s="20">
        <v>5</v>
      </c>
    </row>
    <row r="27" spans="2:11" x14ac:dyDescent="0.25">
      <c r="C27" s="20">
        <v>102</v>
      </c>
      <c r="D27" s="20">
        <v>1</v>
      </c>
      <c r="E27" s="20">
        <v>102</v>
      </c>
      <c r="F27" s="20">
        <v>102</v>
      </c>
    </row>
    <row r="28" spans="2:11" x14ac:dyDescent="0.25">
      <c r="C28" s="21">
        <v>101</v>
      </c>
      <c r="D28" s="21">
        <v>101</v>
      </c>
      <c r="E28" s="21">
        <v>101</v>
      </c>
      <c r="F28" s="21">
        <v>4</v>
      </c>
    </row>
    <row r="29" spans="2:11" ht="18.75" x14ac:dyDescent="0.3">
      <c r="B29" s="33" t="s">
        <v>15</v>
      </c>
      <c r="C29" s="33">
        <f>SUM(C24:C28)</f>
        <v>509</v>
      </c>
      <c r="D29" s="33"/>
      <c r="E29" s="33"/>
      <c r="F29" s="33"/>
    </row>
  </sheetData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2"/>
  <dimension ref="B11:P21"/>
  <sheetViews>
    <sheetView showGridLines="0" workbookViewId="0"/>
  </sheetViews>
  <sheetFormatPr defaultRowHeight="15" x14ac:dyDescent="0.25"/>
  <cols>
    <col min="2" max="2" width="19.28515625" customWidth="1"/>
    <col min="4" max="4" width="15.7109375" customWidth="1"/>
    <col min="6" max="6" width="4.7109375" customWidth="1"/>
  </cols>
  <sheetData>
    <row r="11" spans="2:16" ht="21" x14ac:dyDescent="0.35">
      <c r="B11" s="41">
        <v>1</v>
      </c>
      <c r="D11" s="41">
        <v>2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spans="2:16" ht="21" x14ac:dyDescent="0.35">
      <c r="B12" s="41">
        <v>2</v>
      </c>
      <c r="D12" s="41">
        <v>4</v>
      </c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spans="2:16" ht="21" x14ac:dyDescent="0.35">
      <c r="B13" s="41"/>
      <c r="D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spans="2:16" ht="21" x14ac:dyDescent="0.35">
      <c r="B14" s="41"/>
      <c r="D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spans="2:16" ht="21" x14ac:dyDescent="0.35">
      <c r="B15" s="41"/>
      <c r="D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" ht="21" x14ac:dyDescent="0.35">
      <c r="B16" s="41"/>
      <c r="D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spans="2:16" ht="21" x14ac:dyDescent="0.35">
      <c r="B17" s="41"/>
      <c r="D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spans="2:16" ht="21" x14ac:dyDescent="0.35">
      <c r="B18" s="41"/>
      <c r="D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spans="2:16" ht="21" x14ac:dyDescent="0.35">
      <c r="B19" s="41"/>
      <c r="D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spans="2:16" ht="21" x14ac:dyDescent="0.35">
      <c r="B20" s="41"/>
      <c r="D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spans="2:16" ht="21" x14ac:dyDescent="0.35">
      <c r="G21" s="41"/>
      <c r="H21" s="41"/>
      <c r="I21" s="41"/>
      <c r="J21" s="41"/>
      <c r="K21" s="41"/>
      <c r="L21" s="41"/>
      <c r="M21" s="41"/>
      <c r="N21" s="41"/>
      <c r="O21" s="41"/>
      <c r="P21" s="41"/>
    </row>
  </sheetData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3"/>
  <dimension ref="B11:L22"/>
  <sheetViews>
    <sheetView showGridLines="0" workbookViewId="0"/>
  </sheetViews>
  <sheetFormatPr defaultRowHeight="15" x14ac:dyDescent="0.25"/>
  <cols>
    <col min="1" max="1" width="5.42578125" customWidth="1"/>
    <col min="2" max="2" width="13.7109375" customWidth="1"/>
    <col min="3" max="3" width="3.7109375" customWidth="1"/>
    <col min="4" max="4" width="13.7109375" customWidth="1"/>
    <col min="5" max="5" width="3.7109375" customWidth="1"/>
    <col min="6" max="6" width="18.28515625" customWidth="1"/>
    <col min="7" max="7" width="3.7109375" customWidth="1"/>
    <col min="8" max="8" width="13.7109375" customWidth="1"/>
    <col min="12" max="12" width="18.28515625" bestFit="1" customWidth="1"/>
  </cols>
  <sheetData>
    <row r="11" spans="2:12" ht="21" x14ac:dyDescent="0.35">
      <c r="B11" s="41" t="s">
        <v>29</v>
      </c>
      <c r="D11" s="41" t="s">
        <v>34</v>
      </c>
      <c r="F11" s="41" t="s">
        <v>60</v>
      </c>
      <c r="H11" s="41" t="s">
        <v>61</v>
      </c>
      <c r="L11" s="41" t="s">
        <v>84</v>
      </c>
    </row>
    <row r="12" spans="2:12" ht="21" x14ac:dyDescent="0.35">
      <c r="B12" s="41"/>
      <c r="D12" s="41"/>
      <c r="F12" s="41"/>
      <c r="H12" s="41"/>
      <c r="L12" s="41"/>
    </row>
    <row r="13" spans="2:12" ht="21" x14ac:dyDescent="0.35">
      <c r="B13" s="41"/>
      <c r="D13" s="41"/>
      <c r="F13" s="41"/>
      <c r="H13" s="41"/>
      <c r="L13" s="41"/>
    </row>
    <row r="14" spans="2:12" ht="21" x14ac:dyDescent="0.35">
      <c r="B14" s="41"/>
      <c r="D14" s="41"/>
      <c r="F14" s="41"/>
      <c r="H14" s="41"/>
      <c r="L14" s="41"/>
    </row>
    <row r="15" spans="2:12" ht="21" x14ac:dyDescent="0.35">
      <c r="B15" s="41"/>
      <c r="D15" s="41"/>
      <c r="F15" s="41"/>
      <c r="H15" s="41"/>
      <c r="L15" s="41"/>
    </row>
    <row r="16" spans="2:12" ht="21" x14ac:dyDescent="0.35">
      <c r="B16" s="41"/>
      <c r="D16" s="41"/>
      <c r="F16" s="41"/>
      <c r="H16" s="41"/>
      <c r="L16" s="41"/>
    </row>
    <row r="17" spans="2:12" ht="21" x14ac:dyDescent="0.35">
      <c r="B17" s="41"/>
      <c r="D17" s="41"/>
      <c r="F17" s="41"/>
      <c r="H17" s="41"/>
      <c r="L17" s="41"/>
    </row>
    <row r="18" spans="2:12" ht="21" x14ac:dyDescent="0.35">
      <c r="B18" s="41"/>
      <c r="D18" s="41"/>
    </row>
    <row r="19" spans="2:12" ht="21" x14ac:dyDescent="0.35">
      <c r="B19" s="41"/>
      <c r="D19" s="41"/>
    </row>
    <row r="20" spans="2:12" ht="21" x14ac:dyDescent="0.35">
      <c r="B20" s="41"/>
      <c r="D20" s="41"/>
    </row>
    <row r="21" spans="2:12" ht="21" x14ac:dyDescent="0.35">
      <c r="B21" s="41"/>
      <c r="D21" s="41"/>
    </row>
    <row r="22" spans="2:12" ht="21" x14ac:dyDescent="0.35">
      <c r="B22" s="41"/>
      <c r="D22" s="41"/>
    </row>
  </sheetData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4"/>
  <dimension ref="A1:D23"/>
  <sheetViews>
    <sheetView showGridLines="0" zoomScale="115" zoomScaleNormal="115" workbookViewId="0">
      <selection activeCell="B17" sqref="B17"/>
    </sheetView>
  </sheetViews>
  <sheetFormatPr defaultRowHeight="15" x14ac:dyDescent="0.25"/>
  <cols>
    <col min="1" max="1" width="15.28515625" customWidth="1"/>
    <col min="2" max="2" width="14.85546875" customWidth="1"/>
    <col min="3" max="3" width="15.28515625" customWidth="1"/>
    <col min="4" max="12" width="16.7109375" customWidth="1"/>
  </cols>
  <sheetData>
    <row r="1" spans="1:4" x14ac:dyDescent="0.25">
      <c r="A1" s="8" t="s">
        <v>2</v>
      </c>
      <c r="B1" s="8" t="s">
        <v>50</v>
      </c>
      <c r="C1" s="8" t="s">
        <v>72</v>
      </c>
    </row>
    <row r="2" spans="1:4" x14ac:dyDescent="0.25">
      <c r="A2" s="34">
        <v>10</v>
      </c>
      <c r="B2" s="20">
        <v>200</v>
      </c>
      <c r="C2" s="34">
        <f>A2*B2</f>
        <v>2000</v>
      </c>
    </row>
    <row r="3" spans="1:4" x14ac:dyDescent="0.25">
      <c r="A3" s="34">
        <v>20</v>
      </c>
      <c r="B3" s="20">
        <v>120</v>
      </c>
      <c r="C3" s="34">
        <f>A3*B3</f>
        <v>2400</v>
      </c>
    </row>
    <row r="4" spans="1:4" x14ac:dyDescent="0.25">
      <c r="A4" s="34">
        <v>9</v>
      </c>
      <c r="B4" s="20">
        <v>100</v>
      </c>
      <c r="C4" s="34">
        <f>A4*B4</f>
        <v>900</v>
      </c>
    </row>
    <row r="5" spans="1:4" x14ac:dyDescent="0.25">
      <c r="A5" s="34">
        <v>23</v>
      </c>
      <c r="B5" s="20">
        <v>232</v>
      </c>
      <c r="C5" s="34">
        <f>A5*B5</f>
        <v>5336</v>
      </c>
    </row>
    <row r="8" spans="1:4" x14ac:dyDescent="0.25">
      <c r="B8" s="9" t="s">
        <v>73</v>
      </c>
      <c r="C8" s="42">
        <f>SUM($C$2:$C$5)</f>
        <v>10636</v>
      </c>
      <c r="D8" s="81"/>
    </row>
    <row r="9" spans="1:4" x14ac:dyDescent="0.25">
      <c r="C9" s="81"/>
    </row>
    <row r="17" spans="1:2" x14ac:dyDescent="0.25">
      <c r="A17" s="2" t="s">
        <v>2</v>
      </c>
      <c r="B17" s="50"/>
    </row>
    <row r="19" spans="1:2" x14ac:dyDescent="0.25">
      <c r="A19" t="s">
        <v>50</v>
      </c>
      <c r="B19" t="s">
        <v>142</v>
      </c>
    </row>
    <row r="20" spans="1:2" x14ac:dyDescent="0.25">
      <c r="A20" s="107">
        <v>3</v>
      </c>
      <c r="B20" s="108"/>
    </row>
    <row r="21" spans="1:2" x14ac:dyDescent="0.25">
      <c r="A21" s="107">
        <v>6</v>
      </c>
      <c r="B21" s="108"/>
    </row>
    <row r="22" spans="1:2" x14ac:dyDescent="0.25">
      <c r="A22" s="107">
        <v>9</v>
      </c>
      <c r="B22" s="108"/>
    </row>
    <row r="23" spans="1:2" x14ac:dyDescent="0.25">
      <c r="A23" s="107">
        <v>12</v>
      </c>
      <c r="B23" s="108"/>
    </row>
  </sheetData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5"/>
  <dimension ref="A11:E101"/>
  <sheetViews>
    <sheetView showGridLines="0" workbookViewId="0">
      <selection activeCell="C88" sqref="C88:E88"/>
    </sheetView>
  </sheetViews>
  <sheetFormatPr defaultRowHeight="15" x14ac:dyDescent="0.25"/>
  <cols>
    <col min="1" max="1" width="24.28515625" customWidth="1"/>
    <col min="2" max="4" width="13.7109375" customWidth="1"/>
    <col min="5" max="5" width="15.5703125" customWidth="1"/>
    <col min="6" max="12" width="9" customWidth="1"/>
  </cols>
  <sheetData>
    <row r="11" spans="2:5" ht="18.75" x14ac:dyDescent="0.25">
      <c r="B11" s="31"/>
      <c r="C11" s="43" t="s">
        <v>31</v>
      </c>
      <c r="D11" s="43" t="s">
        <v>32</v>
      </c>
      <c r="E11" s="43" t="s">
        <v>33</v>
      </c>
    </row>
    <row r="12" spans="2:5" ht="18.75" x14ac:dyDescent="0.25">
      <c r="B12" s="32" t="s">
        <v>34</v>
      </c>
      <c r="C12" s="44">
        <v>4023</v>
      </c>
      <c r="D12" s="44">
        <v>234</v>
      </c>
      <c r="E12" s="44">
        <v>392</v>
      </c>
    </row>
    <row r="13" spans="2:5" ht="18.75" x14ac:dyDescent="0.25">
      <c r="B13" s="32" t="s">
        <v>35</v>
      </c>
      <c r="C13" s="44">
        <v>2941</v>
      </c>
      <c r="D13" s="44">
        <v>203</v>
      </c>
      <c r="E13" s="44">
        <v>234</v>
      </c>
    </row>
    <row r="14" spans="2:5" ht="18.75" x14ac:dyDescent="0.25">
      <c r="B14" s="32" t="s">
        <v>36</v>
      </c>
      <c r="C14" s="44">
        <v>4021</v>
      </c>
      <c r="D14" s="44">
        <v>124</v>
      </c>
      <c r="E14" s="44">
        <v>103</v>
      </c>
    </row>
    <row r="15" spans="2:5" ht="18.75" x14ac:dyDescent="0.25">
      <c r="B15" s="43" t="s">
        <v>15</v>
      </c>
      <c r="C15" s="45">
        <f>SUM(C12:C14)</f>
        <v>10985</v>
      </c>
      <c r="D15" s="45">
        <f>SUM(D12:D14)</f>
        <v>561</v>
      </c>
      <c r="E15" s="45">
        <f>SUM(E12:E14)</f>
        <v>729</v>
      </c>
    </row>
    <row r="17" spans="2:5" ht="18.75" x14ac:dyDescent="0.25">
      <c r="B17" s="56"/>
      <c r="C17" s="57"/>
      <c r="D17" s="57"/>
      <c r="E17" s="58"/>
    </row>
    <row r="18" spans="2:5" ht="18.75" x14ac:dyDescent="0.25">
      <c r="B18" s="59"/>
      <c r="C18" s="29"/>
      <c r="D18" s="29"/>
      <c r="E18" s="60"/>
    </row>
    <row r="19" spans="2:5" ht="18.75" x14ac:dyDescent="0.25">
      <c r="B19" s="59"/>
      <c r="C19" s="29"/>
      <c r="D19" s="29"/>
      <c r="E19" s="60"/>
    </row>
    <row r="20" spans="2:5" ht="18.75" x14ac:dyDescent="0.25">
      <c r="B20" s="59"/>
      <c r="C20" s="29"/>
      <c r="D20" s="29"/>
      <c r="E20" s="60"/>
    </row>
    <row r="21" spans="2:5" ht="18.75" x14ac:dyDescent="0.25">
      <c r="B21" s="61"/>
      <c r="C21" s="62"/>
      <c r="D21" s="62"/>
      <c r="E21" s="63"/>
    </row>
    <row r="29" spans="2:5" ht="18.75" x14ac:dyDescent="0.25">
      <c r="B29" s="56"/>
      <c r="C29" s="85"/>
      <c r="D29" s="85"/>
      <c r="E29" s="86"/>
    </row>
    <row r="30" spans="2:5" ht="18.75" x14ac:dyDescent="0.25">
      <c r="B30" s="83"/>
      <c r="C30" s="82"/>
      <c r="D30" s="82"/>
      <c r="E30" s="84"/>
    </row>
    <row r="31" spans="2:5" ht="18.75" x14ac:dyDescent="0.25">
      <c r="B31" s="83"/>
      <c r="C31" s="82"/>
      <c r="D31" s="82"/>
      <c r="E31" s="84"/>
    </row>
    <row r="32" spans="2:5" ht="18.75" x14ac:dyDescent="0.25">
      <c r="B32" s="83"/>
      <c r="C32" s="82"/>
      <c r="D32" s="82"/>
      <c r="E32" s="84"/>
    </row>
    <row r="33" spans="2:5" ht="18.75" x14ac:dyDescent="0.25">
      <c r="B33" s="87"/>
      <c r="C33" s="88"/>
      <c r="D33" s="88"/>
      <c r="E33" s="89"/>
    </row>
    <row r="50" spans="2:4" ht="18.75" x14ac:dyDescent="0.3">
      <c r="B50" s="46" t="s">
        <v>29</v>
      </c>
      <c r="C50" s="64" t="s">
        <v>86</v>
      </c>
      <c r="D50" s="2"/>
    </row>
    <row r="51" spans="2:4" ht="18.75" x14ac:dyDescent="0.3">
      <c r="B51" s="46" t="s">
        <v>30</v>
      </c>
    </row>
    <row r="52" spans="2:4" ht="18.75" x14ac:dyDescent="0.3">
      <c r="B52" s="46" t="s">
        <v>62</v>
      </c>
      <c r="C52" s="64" t="s">
        <v>87</v>
      </c>
      <c r="D52" s="2"/>
    </row>
    <row r="53" spans="2:4" ht="18.75" x14ac:dyDescent="0.3">
      <c r="B53" s="46" t="s">
        <v>63</v>
      </c>
    </row>
    <row r="54" spans="2:4" ht="18.75" x14ac:dyDescent="0.3">
      <c r="B54" s="46" t="s">
        <v>64</v>
      </c>
    </row>
    <row r="55" spans="2:4" ht="18.75" x14ac:dyDescent="0.3">
      <c r="B55" s="46" t="s">
        <v>65</v>
      </c>
    </row>
    <row r="56" spans="2:4" ht="18.75" x14ac:dyDescent="0.3">
      <c r="B56" s="46" t="s">
        <v>66</v>
      </c>
    </row>
    <row r="57" spans="2:4" ht="18.75" x14ac:dyDescent="0.3">
      <c r="B57" s="46" t="s">
        <v>67</v>
      </c>
    </row>
    <row r="58" spans="2:4" ht="18.75" x14ac:dyDescent="0.3">
      <c r="B58" s="46" t="s">
        <v>68</v>
      </c>
    </row>
    <row r="59" spans="2:4" ht="18.75" x14ac:dyDescent="0.3">
      <c r="B59" s="46" t="s">
        <v>69</v>
      </c>
    </row>
    <row r="60" spans="2:4" ht="18.75" x14ac:dyDescent="0.3">
      <c r="B60" s="46" t="s">
        <v>70</v>
      </c>
    </row>
    <row r="61" spans="2:4" ht="18.75" x14ac:dyDescent="0.3">
      <c r="B61" s="46" t="s">
        <v>71</v>
      </c>
    </row>
    <row r="64" spans="2:4" ht="18.75" x14ac:dyDescent="0.3">
      <c r="D64" s="25"/>
    </row>
    <row r="65" spans="2:5" ht="18.75" x14ac:dyDescent="0.3">
      <c r="B65" s="25" t="s">
        <v>85</v>
      </c>
    </row>
    <row r="66" spans="2:5" ht="18.75" x14ac:dyDescent="0.25">
      <c r="B66" s="31"/>
      <c r="C66" s="65" t="s">
        <v>31</v>
      </c>
      <c r="D66" s="65" t="s">
        <v>32</v>
      </c>
      <c r="E66" s="65" t="s">
        <v>33</v>
      </c>
    </row>
    <row r="67" spans="2:5" ht="18.75" x14ac:dyDescent="0.25">
      <c r="B67" s="66" t="s">
        <v>34</v>
      </c>
      <c r="C67" s="69">
        <v>4023</v>
      </c>
      <c r="D67" s="69">
        <v>234</v>
      </c>
      <c r="E67" s="69">
        <v>392</v>
      </c>
    </row>
    <row r="68" spans="2:5" ht="18.75" x14ac:dyDescent="0.25">
      <c r="B68" s="66" t="s">
        <v>35</v>
      </c>
      <c r="C68" s="69">
        <v>2941</v>
      </c>
      <c r="D68" s="69">
        <v>203</v>
      </c>
      <c r="E68" s="69">
        <v>234</v>
      </c>
    </row>
    <row r="69" spans="2:5" ht="18.75" x14ac:dyDescent="0.25">
      <c r="B69" s="66" t="s">
        <v>36</v>
      </c>
      <c r="C69" s="69">
        <v>4021</v>
      </c>
      <c r="D69" s="69">
        <v>124</v>
      </c>
      <c r="E69" s="69">
        <v>103</v>
      </c>
    </row>
    <row r="70" spans="2:5" ht="18.75" x14ac:dyDescent="0.25">
      <c r="B70" s="67" t="s">
        <v>15</v>
      </c>
      <c r="C70" s="68">
        <f>SUM(C67:C69)</f>
        <v>10985</v>
      </c>
      <c r="D70" s="68">
        <f>SUM(D67:D69)</f>
        <v>561</v>
      </c>
      <c r="E70" s="68">
        <f>SUM(E67:E69)</f>
        <v>729</v>
      </c>
    </row>
    <row r="72" spans="2:5" ht="18.75" x14ac:dyDescent="0.3">
      <c r="B72" s="25"/>
    </row>
    <row r="80" spans="2:5" x14ac:dyDescent="0.25">
      <c r="B80" s="74" t="s">
        <v>94</v>
      </c>
      <c r="C80" s="75" t="s">
        <v>95</v>
      </c>
    </row>
    <row r="81" spans="1:5" x14ac:dyDescent="0.25">
      <c r="B81" s="2" t="s">
        <v>96</v>
      </c>
      <c r="C81" s="2">
        <v>1</v>
      </c>
    </row>
    <row r="82" spans="1:5" x14ac:dyDescent="0.25">
      <c r="B82" s="2" t="s">
        <v>97</v>
      </c>
      <c r="C82" s="2">
        <v>2</v>
      </c>
    </row>
    <row r="83" spans="1:5" x14ac:dyDescent="0.25">
      <c r="B83" s="2" t="s">
        <v>98</v>
      </c>
      <c r="C83" s="2">
        <v>3</v>
      </c>
    </row>
    <row r="84" spans="1:5" x14ac:dyDescent="0.25">
      <c r="B84" s="2" t="s">
        <v>99</v>
      </c>
      <c r="C84" s="2">
        <v>4</v>
      </c>
    </row>
    <row r="86" spans="1:5" ht="15.75" thickBot="1" x14ac:dyDescent="0.3"/>
    <row r="87" spans="1:5" x14ac:dyDescent="0.25">
      <c r="A87" s="72" t="s">
        <v>91</v>
      </c>
      <c r="C87" s="166" t="s">
        <v>92</v>
      </c>
      <c r="D87" s="167"/>
      <c r="E87" s="168"/>
    </row>
    <row r="88" spans="1:5" ht="16.5" thickBot="1" x14ac:dyDescent="0.3">
      <c r="A88" s="90" t="s">
        <v>113</v>
      </c>
      <c r="C88" s="163">
        <f>SUM(A88:A101)</f>
        <v>0</v>
      </c>
      <c r="D88" s="164"/>
      <c r="E88" s="165"/>
    </row>
    <row r="89" spans="1:5" x14ac:dyDescent="0.25">
      <c r="A89" s="90" t="s">
        <v>114</v>
      </c>
      <c r="B89" s="71"/>
    </row>
    <row r="90" spans="1:5" ht="15.75" thickBot="1" x14ac:dyDescent="0.3">
      <c r="A90" s="90" t="s">
        <v>115</v>
      </c>
      <c r="B90" s="71"/>
      <c r="C90" s="169" t="s">
        <v>93</v>
      </c>
      <c r="D90" s="169"/>
      <c r="E90" s="169"/>
    </row>
    <row r="91" spans="1:5" x14ac:dyDescent="0.25">
      <c r="A91" s="90" t="s">
        <v>116</v>
      </c>
      <c r="B91" s="71"/>
      <c r="C91" s="137" t="s">
        <v>90</v>
      </c>
      <c r="D91" s="138"/>
      <c r="E91" s="139"/>
    </row>
    <row r="92" spans="1:5" ht="16.5" thickBot="1" x14ac:dyDescent="0.3">
      <c r="A92" s="90" t="s">
        <v>117</v>
      </c>
      <c r="B92" s="71"/>
      <c r="C92" s="163">
        <f>COUNTIF(A88:A101,"&gt;10/1/12")</f>
        <v>0</v>
      </c>
      <c r="D92" s="164"/>
      <c r="E92" s="165"/>
    </row>
    <row r="93" spans="1:5" x14ac:dyDescent="0.25">
      <c r="A93" s="90" t="s">
        <v>118</v>
      </c>
      <c r="B93" s="71"/>
    </row>
    <row r="94" spans="1:5" x14ac:dyDescent="0.25">
      <c r="A94" s="90" t="s">
        <v>119</v>
      </c>
      <c r="B94" s="71"/>
    </row>
    <row r="95" spans="1:5" x14ac:dyDescent="0.25">
      <c r="A95" s="90" t="s">
        <v>120</v>
      </c>
      <c r="B95" s="71"/>
      <c r="D95" s="73">
        <v>1</v>
      </c>
    </row>
    <row r="96" spans="1:5" x14ac:dyDescent="0.25">
      <c r="A96" s="90" t="s">
        <v>121</v>
      </c>
      <c r="B96" s="71"/>
    </row>
    <row r="97" spans="1:2" x14ac:dyDescent="0.25">
      <c r="A97" s="90" t="s">
        <v>122</v>
      </c>
      <c r="B97" s="71"/>
    </row>
    <row r="98" spans="1:2" x14ac:dyDescent="0.25">
      <c r="A98" s="90" t="s">
        <v>123</v>
      </c>
      <c r="B98" s="71"/>
    </row>
    <row r="99" spans="1:2" x14ac:dyDescent="0.25">
      <c r="A99" s="90" t="s">
        <v>124</v>
      </c>
      <c r="B99" s="71"/>
    </row>
    <row r="100" spans="1:2" x14ac:dyDescent="0.25">
      <c r="A100" s="90" t="s">
        <v>125</v>
      </c>
      <c r="B100" s="71"/>
    </row>
    <row r="101" spans="1:2" x14ac:dyDescent="0.25">
      <c r="A101" s="90" t="s">
        <v>126</v>
      </c>
      <c r="B101" s="71"/>
    </row>
  </sheetData>
  <mergeCells count="5">
    <mergeCell ref="C91:E91"/>
    <mergeCell ref="C92:E92"/>
    <mergeCell ref="C87:E87"/>
    <mergeCell ref="C88:E88"/>
    <mergeCell ref="C90:E90"/>
  </mergeCell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"/>
  <sheetViews>
    <sheetView showGridLines="0" zoomScaleNormal="100" workbookViewId="0"/>
  </sheetViews>
  <sheetFormatPr defaultRowHeight="15" x14ac:dyDescent="0.25"/>
  <cols>
    <col min="1" max="1" width="25.7109375" customWidth="1"/>
    <col min="2" max="2" width="2.5703125" customWidth="1"/>
    <col min="3" max="3" width="25.28515625" customWidth="1"/>
    <col min="4" max="4" width="2.5703125" customWidth="1"/>
    <col min="5" max="5" width="18.42578125" customWidth="1"/>
    <col min="6" max="6" width="2.5703125" customWidth="1"/>
    <col min="13" max="13" width="2.5703125" customWidth="1"/>
    <col min="14" max="14" width="16.140625" customWidth="1"/>
    <col min="17" max="17" width="10.7109375" bestFit="1" customWidth="1"/>
  </cols>
  <sheetData>
    <row r="2" spans="1:14" ht="45" customHeight="1" x14ac:dyDescent="0.25"/>
    <row r="3" spans="1:14" ht="44.25" customHeight="1" x14ac:dyDescent="0.25">
      <c r="A3" s="110" t="s">
        <v>154</v>
      </c>
      <c r="B3" s="111"/>
      <c r="C3" s="110" t="s">
        <v>146</v>
      </c>
      <c r="D3" s="111"/>
      <c r="E3" s="110" t="s">
        <v>148</v>
      </c>
      <c r="F3" s="111"/>
      <c r="G3" s="170" t="s">
        <v>149</v>
      </c>
      <c r="H3" s="170"/>
      <c r="I3" s="170"/>
      <c r="J3" s="170"/>
      <c r="K3" s="170"/>
      <c r="L3" s="170"/>
      <c r="M3" s="111"/>
      <c r="N3" s="110" t="s">
        <v>145</v>
      </c>
    </row>
    <row r="5" spans="1:14" x14ac:dyDescent="0.25">
      <c r="C5" s="39" t="s">
        <v>147</v>
      </c>
      <c r="E5" s="2">
        <v>1</v>
      </c>
      <c r="G5" s="2">
        <v>1</v>
      </c>
      <c r="H5" s="2"/>
      <c r="I5" s="2"/>
      <c r="J5" s="2"/>
      <c r="K5" s="2"/>
      <c r="L5" s="2"/>
      <c r="N5" s="2" t="s">
        <v>84</v>
      </c>
    </row>
    <row r="6" spans="1:14" x14ac:dyDescent="0.25">
      <c r="A6" s="109"/>
      <c r="C6" s="2" t="s">
        <v>84</v>
      </c>
      <c r="E6" s="79"/>
      <c r="G6" s="2"/>
      <c r="H6" s="2"/>
      <c r="I6" s="2"/>
      <c r="J6" s="2"/>
      <c r="K6" s="2"/>
      <c r="L6" s="2"/>
      <c r="N6" s="2"/>
    </row>
    <row r="7" spans="1:14" x14ac:dyDescent="0.25">
      <c r="C7" s="2" t="s">
        <v>84</v>
      </c>
      <c r="E7" s="79"/>
      <c r="G7" s="2"/>
      <c r="H7" s="2"/>
      <c r="I7" s="2"/>
      <c r="J7" s="2"/>
      <c r="K7" s="2">
        <v>1</v>
      </c>
      <c r="L7" s="2"/>
      <c r="N7" s="2"/>
    </row>
    <row r="8" spans="1:14" x14ac:dyDescent="0.25">
      <c r="C8" s="2" t="s">
        <v>84</v>
      </c>
      <c r="E8" s="79"/>
      <c r="G8" s="2"/>
      <c r="H8" s="2"/>
      <c r="I8" s="2"/>
      <c r="J8" s="2"/>
      <c r="K8" s="2"/>
      <c r="L8" s="2"/>
      <c r="N8" s="2"/>
    </row>
    <row r="9" spans="1:14" x14ac:dyDescent="0.25">
      <c r="C9" s="2" t="s">
        <v>84</v>
      </c>
      <c r="E9" s="79">
        <v>1</v>
      </c>
      <c r="G9" s="2"/>
      <c r="H9" s="2"/>
      <c r="I9" s="2">
        <v>1</v>
      </c>
      <c r="J9" s="2">
        <v>1</v>
      </c>
      <c r="K9" s="2"/>
      <c r="L9" s="2"/>
      <c r="N9" s="2"/>
    </row>
    <row r="10" spans="1:14" x14ac:dyDescent="0.25">
      <c r="C10" s="2" t="s">
        <v>84</v>
      </c>
      <c r="E10" s="79"/>
      <c r="G10" s="2">
        <v>1</v>
      </c>
      <c r="H10" s="2"/>
      <c r="I10" s="2"/>
      <c r="J10" s="2"/>
      <c r="K10" s="2"/>
      <c r="L10" s="2"/>
      <c r="N10" s="2" t="s">
        <v>143</v>
      </c>
    </row>
    <row r="11" spans="1:14" x14ac:dyDescent="0.25">
      <c r="C11" s="2" t="s">
        <v>84</v>
      </c>
      <c r="E11" s="79"/>
      <c r="G11" s="2"/>
      <c r="H11" s="2">
        <v>1</v>
      </c>
      <c r="I11" s="2"/>
      <c r="J11" s="2"/>
      <c r="K11" s="2"/>
      <c r="L11" s="2"/>
      <c r="N11" s="2"/>
    </row>
    <row r="12" spans="1:14" x14ac:dyDescent="0.25">
      <c r="C12" s="2" t="s">
        <v>84</v>
      </c>
      <c r="E12" s="79">
        <v>1</v>
      </c>
      <c r="G12" s="2"/>
      <c r="H12" s="2"/>
      <c r="I12" s="2"/>
      <c r="J12" s="2"/>
      <c r="K12" s="2"/>
      <c r="L12" s="2"/>
      <c r="N12" s="2"/>
    </row>
    <row r="13" spans="1:14" x14ac:dyDescent="0.25">
      <c r="E13" s="79">
        <v>1</v>
      </c>
      <c r="G13" s="2"/>
      <c r="H13" s="2"/>
      <c r="I13" s="2"/>
      <c r="J13" s="2"/>
      <c r="K13" s="2"/>
      <c r="L13" s="2">
        <v>1</v>
      </c>
      <c r="N13" s="2"/>
    </row>
    <row r="14" spans="1:14" x14ac:dyDescent="0.25">
      <c r="E14" s="79">
        <v>1</v>
      </c>
      <c r="G14" s="2">
        <v>1</v>
      </c>
      <c r="H14" s="2"/>
      <c r="I14" s="2"/>
      <c r="J14" s="2">
        <v>1</v>
      </c>
      <c r="K14" s="2"/>
      <c r="L14" s="2"/>
      <c r="N14" s="2"/>
    </row>
    <row r="15" spans="1:14" x14ac:dyDescent="0.25">
      <c r="E15" s="79"/>
      <c r="G15" s="2">
        <v>1</v>
      </c>
      <c r="H15" s="2"/>
      <c r="I15" s="2"/>
      <c r="J15" s="2"/>
      <c r="K15" s="2"/>
      <c r="L15" s="2"/>
      <c r="N15" s="2" t="s">
        <v>144</v>
      </c>
    </row>
    <row r="16" spans="1:14" x14ac:dyDescent="0.25">
      <c r="E16" s="79"/>
      <c r="G16" s="2">
        <v>1</v>
      </c>
      <c r="H16" s="2"/>
      <c r="I16" s="2"/>
      <c r="J16" s="2"/>
      <c r="K16" s="2"/>
      <c r="L16" s="2"/>
      <c r="N16" s="2"/>
    </row>
    <row r="17" spans="5:14" x14ac:dyDescent="0.25">
      <c r="E17" s="79">
        <v>1</v>
      </c>
      <c r="G17" s="2">
        <v>1</v>
      </c>
      <c r="H17" s="2"/>
      <c r="I17" s="2"/>
      <c r="J17" s="2"/>
      <c r="K17" s="2"/>
      <c r="L17" s="2"/>
      <c r="N17" s="2"/>
    </row>
    <row r="18" spans="5:14" x14ac:dyDescent="0.25">
      <c r="E18" s="79"/>
      <c r="G18" s="2"/>
      <c r="H18" s="2"/>
      <c r="I18" s="2"/>
      <c r="J18" s="2">
        <v>1</v>
      </c>
      <c r="K18" s="2"/>
      <c r="L18" s="2"/>
      <c r="N18" s="2"/>
    </row>
    <row r="19" spans="5:14" x14ac:dyDescent="0.25">
      <c r="E19" s="79"/>
    </row>
  </sheetData>
  <mergeCells count="1">
    <mergeCell ref="G3:L3"/>
  </mergeCells>
  <conditionalFormatting sqref="G5:L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6"/>
  <dimension ref="B11:J51"/>
  <sheetViews>
    <sheetView showGridLines="0" workbookViewId="0"/>
  </sheetViews>
  <sheetFormatPr defaultRowHeight="15" x14ac:dyDescent="0.25"/>
  <cols>
    <col min="3" max="4" width="9.140625" customWidth="1"/>
  </cols>
  <sheetData>
    <row r="11" spans="2:5" ht="18.75" x14ac:dyDescent="0.25">
      <c r="B11" s="31"/>
      <c r="C11" s="43" t="s">
        <v>31</v>
      </c>
      <c r="D11" s="43" t="s">
        <v>32</v>
      </c>
      <c r="E11" s="43" t="s">
        <v>33</v>
      </c>
    </row>
    <row r="12" spans="2:5" ht="18.75" x14ac:dyDescent="0.25">
      <c r="B12" s="32" t="s">
        <v>34</v>
      </c>
      <c r="C12" s="44">
        <v>4023</v>
      </c>
      <c r="D12" s="44">
        <v>234</v>
      </c>
      <c r="E12" s="44">
        <v>392</v>
      </c>
    </row>
    <row r="13" spans="2:5" ht="18.75" x14ac:dyDescent="0.25">
      <c r="B13" s="32" t="s">
        <v>35</v>
      </c>
      <c r="C13" s="44">
        <v>2941</v>
      </c>
      <c r="D13" s="44">
        <v>203</v>
      </c>
      <c r="E13" s="44">
        <v>234</v>
      </c>
    </row>
    <row r="14" spans="2:5" ht="18.75" x14ac:dyDescent="0.25">
      <c r="B14" s="32" t="s">
        <v>36</v>
      </c>
      <c r="C14" s="44">
        <v>4021</v>
      </c>
      <c r="D14" s="44">
        <v>124</v>
      </c>
      <c r="E14" s="44">
        <v>103</v>
      </c>
    </row>
    <row r="15" spans="2:5" ht="18.75" x14ac:dyDescent="0.25">
      <c r="B15" s="43" t="s">
        <v>15</v>
      </c>
      <c r="C15" s="45">
        <f>SUM(C12:C14)</f>
        <v>10985</v>
      </c>
      <c r="D15" s="45">
        <f>SUM(D12:D14)</f>
        <v>561</v>
      </c>
      <c r="E15" s="45">
        <f>SUM(E12:E14)</f>
        <v>729</v>
      </c>
    </row>
    <row r="22" spans="2:5" ht="18.75" x14ac:dyDescent="0.25">
      <c r="B22" s="31"/>
      <c r="C22" s="43" t="s">
        <v>31</v>
      </c>
      <c r="D22" s="43" t="s">
        <v>32</v>
      </c>
      <c r="E22" s="43" t="s">
        <v>33</v>
      </c>
    </row>
    <row r="23" spans="2:5" ht="18.75" x14ac:dyDescent="0.25">
      <c r="B23" s="32" t="s">
        <v>34</v>
      </c>
      <c r="C23" s="44">
        <v>4023</v>
      </c>
      <c r="D23" s="44">
        <v>234</v>
      </c>
      <c r="E23" s="44">
        <v>392</v>
      </c>
    </row>
    <row r="24" spans="2:5" ht="18.75" x14ac:dyDescent="0.25">
      <c r="B24" s="32" t="s">
        <v>35</v>
      </c>
      <c r="C24" s="44">
        <v>2941</v>
      </c>
      <c r="D24" s="44">
        <v>203</v>
      </c>
      <c r="E24" s="44">
        <v>234</v>
      </c>
    </row>
    <row r="25" spans="2:5" ht="18.75" x14ac:dyDescent="0.25">
      <c r="B25" s="32" t="s">
        <v>36</v>
      </c>
      <c r="C25" s="44">
        <v>4021</v>
      </c>
      <c r="D25" s="44">
        <v>124</v>
      </c>
      <c r="E25" s="44">
        <v>103</v>
      </c>
    </row>
    <row r="26" spans="2:5" ht="18.75" x14ac:dyDescent="0.25">
      <c r="B26" s="43" t="s">
        <v>15</v>
      </c>
      <c r="C26" s="45">
        <f t="shared" ref="C26:D26" si="0">SUM(C23:C25)</f>
        <v>10985</v>
      </c>
      <c r="D26" s="45">
        <f t="shared" si="0"/>
        <v>561</v>
      </c>
      <c r="E26" s="45">
        <f>SUM(E23:E25)</f>
        <v>729</v>
      </c>
    </row>
    <row r="33" spans="2:10" ht="18.75" x14ac:dyDescent="0.25">
      <c r="B33" s="31"/>
      <c r="C33" s="43" t="s">
        <v>31</v>
      </c>
      <c r="D33" s="43" t="s">
        <v>32</v>
      </c>
      <c r="E33" s="43" t="s">
        <v>33</v>
      </c>
    </row>
    <row r="34" spans="2:10" ht="18.75" x14ac:dyDescent="0.25">
      <c r="B34" s="32" t="s">
        <v>34</v>
      </c>
      <c r="C34" s="44">
        <v>4023</v>
      </c>
      <c r="D34" s="44">
        <v>234</v>
      </c>
      <c r="E34" s="44">
        <v>392</v>
      </c>
    </row>
    <row r="35" spans="2:10" ht="18.75" x14ac:dyDescent="0.25">
      <c r="B35" s="32" t="s">
        <v>35</v>
      </c>
      <c r="C35" s="44">
        <v>2941</v>
      </c>
      <c r="D35" s="44">
        <v>203</v>
      </c>
      <c r="E35" s="44">
        <v>234</v>
      </c>
    </row>
    <row r="36" spans="2:10" ht="18.75" x14ac:dyDescent="0.25">
      <c r="B36" s="32" t="s">
        <v>36</v>
      </c>
      <c r="C36" s="44">
        <v>4021</v>
      </c>
      <c r="D36" s="44">
        <v>124</v>
      </c>
      <c r="E36" s="44">
        <v>103</v>
      </c>
    </row>
    <row r="37" spans="2:10" ht="18.75" x14ac:dyDescent="0.25">
      <c r="B37" s="43" t="s">
        <v>15</v>
      </c>
      <c r="C37" s="45">
        <f>SUM(C34:C36)</f>
        <v>10985</v>
      </c>
      <c r="D37" s="45">
        <f>SUM(D34:D36)</f>
        <v>561</v>
      </c>
      <c r="E37" s="45">
        <f>SUM(E34:E36)</f>
        <v>729</v>
      </c>
    </row>
    <row r="45" spans="2:10" x14ac:dyDescent="0.25">
      <c r="B45" s="39"/>
    </row>
    <row r="46" spans="2:10" x14ac:dyDescent="0.25">
      <c r="B46" s="39"/>
    </row>
    <row r="47" spans="2:10" ht="18.75" x14ac:dyDescent="0.25">
      <c r="B47" s="31"/>
      <c r="C47" s="43" t="s">
        <v>31</v>
      </c>
      <c r="D47" s="43" t="s">
        <v>32</v>
      </c>
      <c r="E47" s="43" t="s">
        <v>33</v>
      </c>
      <c r="G47" s="31"/>
      <c r="H47" s="43" t="s">
        <v>31</v>
      </c>
      <c r="I47" s="43" t="s">
        <v>32</v>
      </c>
      <c r="J47" s="43" t="s">
        <v>33</v>
      </c>
    </row>
    <row r="48" spans="2:10" ht="18.75" x14ac:dyDescent="0.25">
      <c r="B48" s="32" t="s">
        <v>34</v>
      </c>
      <c r="C48" s="44">
        <v>4023</v>
      </c>
      <c r="D48" s="44">
        <v>234</v>
      </c>
      <c r="E48" s="44">
        <v>392</v>
      </c>
      <c r="G48" s="32" t="s">
        <v>34</v>
      </c>
      <c r="H48" s="44">
        <v>4023</v>
      </c>
      <c r="I48" s="44">
        <v>234</v>
      </c>
      <c r="J48" s="44">
        <v>392</v>
      </c>
    </row>
    <row r="49" spans="2:10" ht="18.75" x14ac:dyDescent="0.25">
      <c r="B49" s="32" t="s">
        <v>35</v>
      </c>
      <c r="C49" s="44">
        <v>2941</v>
      </c>
      <c r="D49" s="44">
        <v>203</v>
      </c>
      <c r="E49" s="44">
        <v>234</v>
      </c>
      <c r="G49" s="32" t="s">
        <v>35</v>
      </c>
      <c r="H49" s="44">
        <v>2941</v>
      </c>
      <c r="I49" s="44">
        <v>203</v>
      </c>
      <c r="J49" s="44">
        <v>234</v>
      </c>
    </row>
    <row r="50" spans="2:10" ht="18.75" x14ac:dyDescent="0.25">
      <c r="B50" s="32" t="s">
        <v>36</v>
      </c>
      <c r="C50" s="44">
        <v>4021</v>
      </c>
      <c r="D50" s="44">
        <v>124</v>
      </c>
      <c r="E50" s="44">
        <v>103</v>
      </c>
      <c r="G50" s="32" t="s">
        <v>36</v>
      </c>
      <c r="H50" s="44">
        <v>4021</v>
      </c>
      <c r="I50" s="44">
        <v>124</v>
      </c>
      <c r="J50" s="44">
        <v>103</v>
      </c>
    </row>
    <row r="51" spans="2:10" ht="18.75" x14ac:dyDescent="0.25">
      <c r="B51" s="43" t="s">
        <v>15</v>
      </c>
      <c r="C51" s="45">
        <f>SUM(C48:C50)</f>
        <v>10985</v>
      </c>
      <c r="D51" s="45">
        <f>SUM(D48:D50)</f>
        <v>561</v>
      </c>
      <c r="E51" s="45">
        <f>SUM(E48:E50)</f>
        <v>729</v>
      </c>
      <c r="G51" s="43" t="s">
        <v>15</v>
      </c>
      <c r="H51" s="45">
        <f>SUM(H48:H50)</f>
        <v>10985</v>
      </c>
      <c r="I51" s="45">
        <f>SUM(I48:I50)</f>
        <v>561</v>
      </c>
      <c r="J51" s="45">
        <f>SUM(J48:J50)</f>
        <v>729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H25"/>
  <sheetViews>
    <sheetView showGridLines="0" workbookViewId="0"/>
  </sheetViews>
  <sheetFormatPr defaultRowHeight="15" x14ac:dyDescent="0.25"/>
  <cols>
    <col min="2" max="2" width="17.28515625" bestFit="1" customWidth="1"/>
    <col min="6" max="6" width="15.7109375" customWidth="1"/>
    <col min="7" max="7" width="12.28515625" customWidth="1"/>
  </cols>
  <sheetData>
    <row r="6" spans="2:8" x14ac:dyDescent="0.25">
      <c r="B6" s="91" t="s">
        <v>127</v>
      </c>
      <c r="C6" s="92">
        <v>1</v>
      </c>
    </row>
    <row r="7" spans="2:8" x14ac:dyDescent="0.25">
      <c r="B7" s="93" t="s">
        <v>128</v>
      </c>
      <c r="C7" s="94">
        <v>3</v>
      </c>
    </row>
    <row r="8" spans="2:8" x14ac:dyDescent="0.25">
      <c r="B8" s="93" t="s">
        <v>129</v>
      </c>
      <c r="C8" s="95">
        <v>6</v>
      </c>
      <c r="H8" s="96"/>
    </row>
    <row r="9" spans="2:8" x14ac:dyDescent="0.25">
      <c r="B9" s="97" t="s">
        <v>130</v>
      </c>
      <c r="C9" s="98">
        <v>7</v>
      </c>
      <c r="H9" s="96"/>
    </row>
    <row r="11" spans="2:8" ht="29.25" customHeight="1" x14ac:dyDescent="0.25">
      <c r="B11" s="99" t="s">
        <v>131</v>
      </c>
      <c r="C11" s="99" t="s">
        <v>132</v>
      </c>
      <c r="D11" s="99" t="s">
        <v>133</v>
      </c>
      <c r="E11" s="99" t="s">
        <v>134</v>
      </c>
      <c r="F11" s="100" t="s">
        <v>135</v>
      </c>
      <c r="G11" s="99" t="s">
        <v>136</v>
      </c>
    </row>
    <row r="12" spans="2:8" x14ac:dyDescent="0.25">
      <c r="B12" s="2" t="s">
        <v>101</v>
      </c>
      <c r="C12" s="101">
        <v>7</v>
      </c>
      <c r="D12" s="102">
        <v>7</v>
      </c>
      <c r="E12" s="103">
        <v>7</v>
      </c>
      <c r="F12" s="104">
        <f>($C$9-(C12*$C$6+D12*$C$7)/10)/($C$8/10)</f>
        <v>7.0000000000000009</v>
      </c>
      <c r="G12" s="105">
        <f>(C12*$C$6+D12*$C$7+E12*$C$8)/10</f>
        <v>7</v>
      </c>
    </row>
    <row r="13" spans="2:8" x14ac:dyDescent="0.25">
      <c r="B13" s="2" t="s">
        <v>102</v>
      </c>
      <c r="C13" s="101">
        <v>5</v>
      </c>
      <c r="D13" s="102">
        <v>5</v>
      </c>
      <c r="E13" s="103">
        <v>9</v>
      </c>
      <c r="F13" s="104">
        <f t="shared" ref="F13:F25" si="0">($C$9-(C13*$C$6+D13*$C$7)/10)/($C$8/10)</f>
        <v>8.3333333333333339</v>
      </c>
      <c r="G13" s="105">
        <f>((C13*$C$6)+(D13*$C$7)+(E13*$C$8))/10</f>
        <v>7.4</v>
      </c>
    </row>
    <row r="14" spans="2:8" x14ac:dyDescent="0.25">
      <c r="B14" s="2" t="s">
        <v>137</v>
      </c>
      <c r="C14" s="101">
        <v>9</v>
      </c>
      <c r="D14" s="102">
        <v>5</v>
      </c>
      <c r="E14" s="103">
        <v>8</v>
      </c>
      <c r="F14" s="104">
        <f t="shared" si="0"/>
        <v>7.6666666666666661</v>
      </c>
      <c r="G14" s="105">
        <f t="shared" ref="G14:G25" si="1">(C14*$C$6+D14*$C$7+E14*$C$8)/10</f>
        <v>7.2</v>
      </c>
    </row>
    <row r="15" spans="2:8" x14ac:dyDescent="0.25">
      <c r="B15" s="2" t="s">
        <v>138</v>
      </c>
      <c r="C15" s="101">
        <v>1</v>
      </c>
      <c r="D15" s="102">
        <v>5</v>
      </c>
      <c r="E15" s="103">
        <v>9</v>
      </c>
      <c r="F15" s="104">
        <f t="shared" si="0"/>
        <v>9.0000000000000018</v>
      </c>
      <c r="G15" s="105">
        <f t="shared" si="1"/>
        <v>7</v>
      </c>
    </row>
    <row r="16" spans="2:8" x14ac:dyDescent="0.25">
      <c r="B16" s="2" t="s">
        <v>105</v>
      </c>
      <c r="C16" s="101">
        <v>2</v>
      </c>
      <c r="D16" s="102">
        <v>4</v>
      </c>
      <c r="E16" s="103">
        <v>9</v>
      </c>
      <c r="F16" s="104">
        <f t="shared" si="0"/>
        <v>9.3333333333333339</v>
      </c>
      <c r="G16" s="105">
        <f t="shared" si="1"/>
        <v>6.8</v>
      </c>
    </row>
    <row r="17" spans="2:7" x14ac:dyDescent="0.25">
      <c r="B17" s="2" t="s">
        <v>103</v>
      </c>
      <c r="C17" s="101">
        <v>4</v>
      </c>
      <c r="D17" s="102">
        <v>6</v>
      </c>
      <c r="E17" s="103">
        <v>9</v>
      </c>
      <c r="F17" s="104">
        <f t="shared" si="0"/>
        <v>8</v>
      </c>
      <c r="G17" s="105">
        <f t="shared" si="1"/>
        <v>7.6</v>
      </c>
    </row>
    <row r="18" spans="2:7" x14ac:dyDescent="0.25">
      <c r="B18" s="2" t="s">
        <v>106</v>
      </c>
      <c r="C18" s="101">
        <v>5</v>
      </c>
      <c r="D18" s="102">
        <v>6</v>
      </c>
      <c r="E18" s="103">
        <v>5</v>
      </c>
      <c r="F18" s="104">
        <f t="shared" si="0"/>
        <v>7.8333333333333339</v>
      </c>
      <c r="G18" s="105">
        <f t="shared" si="1"/>
        <v>5.3</v>
      </c>
    </row>
    <row r="19" spans="2:7" x14ac:dyDescent="0.25">
      <c r="B19" s="2" t="s">
        <v>104</v>
      </c>
      <c r="C19" s="101">
        <v>7</v>
      </c>
      <c r="D19" s="102">
        <v>6</v>
      </c>
      <c r="E19" s="103">
        <v>5</v>
      </c>
      <c r="F19" s="104">
        <f t="shared" si="0"/>
        <v>7.5</v>
      </c>
      <c r="G19" s="105">
        <f t="shared" si="1"/>
        <v>5.5</v>
      </c>
    </row>
    <row r="20" spans="2:7" x14ac:dyDescent="0.25">
      <c r="B20" s="2" t="s">
        <v>139</v>
      </c>
      <c r="C20" s="101">
        <v>7</v>
      </c>
      <c r="D20" s="102">
        <v>6</v>
      </c>
      <c r="E20" s="103">
        <v>7</v>
      </c>
      <c r="F20" s="104">
        <f t="shared" si="0"/>
        <v>7.5</v>
      </c>
      <c r="G20" s="105">
        <f t="shared" si="1"/>
        <v>6.7</v>
      </c>
    </row>
    <row r="21" spans="2:7" x14ac:dyDescent="0.25">
      <c r="B21" s="2" t="s">
        <v>107</v>
      </c>
      <c r="C21" s="101">
        <v>8</v>
      </c>
      <c r="D21" s="102">
        <v>6</v>
      </c>
      <c r="E21" s="103">
        <v>10</v>
      </c>
      <c r="F21" s="104">
        <f t="shared" si="0"/>
        <v>7.3333333333333339</v>
      </c>
      <c r="G21" s="105">
        <f t="shared" si="1"/>
        <v>8.6</v>
      </c>
    </row>
    <row r="22" spans="2:7" x14ac:dyDescent="0.25">
      <c r="B22" s="2" t="s">
        <v>140</v>
      </c>
      <c r="C22" s="101">
        <v>9</v>
      </c>
      <c r="D22" s="102">
        <v>5</v>
      </c>
      <c r="E22" s="103">
        <v>10</v>
      </c>
      <c r="F22" s="104">
        <f t="shared" si="0"/>
        <v>7.6666666666666661</v>
      </c>
      <c r="G22" s="105">
        <f t="shared" si="1"/>
        <v>8.4</v>
      </c>
    </row>
    <row r="23" spans="2:7" x14ac:dyDescent="0.25">
      <c r="B23" s="2" t="s">
        <v>141</v>
      </c>
      <c r="C23" s="101">
        <v>7</v>
      </c>
      <c r="D23" s="102">
        <v>5</v>
      </c>
      <c r="E23" s="103">
        <v>8</v>
      </c>
      <c r="F23" s="104">
        <f t="shared" si="0"/>
        <v>8</v>
      </c>
      <c r="G23" s="105">
        <f t="shared" si="1"/>
        <v>7</v>
      </c>
    </row>
    <row r="24" spans="2:7" x14ac:dyDescent="0.25">
      <c r="B24" s="2" t="s">
        <v>108</v>
      </c>
      <c r="C24" s="101">
        <v>4</v>
      </c>
      <c r="D24" s="102">
        <v>5</v>
      </c>
      <c r="E24" s="103">
        <v>8</v>
      </c>
      <c r="F24" s="104">
        <f t="shared" si="0"/>
        <v>8.5</v>
      </c>
      <c r="G24" s="105">
        <f t="shared" si="1"/>
        <v>6.7</v>
      </c>
    </row>
    <row r="25" spans="2:7" x14ac:dyDescent="0.25">
      <c r="B25" s="2" t="s">
        <v>109</v>
      </c>
      <c r="C25" s="101">
        <v>5</v>
      </c>
      <c r="D25" s="102">
        <v>5</v>
      </c>
      <c r="E25" s="103">
        <v>9</v>
      </c>
      <c r="F25" s="104">
        <f t="shared" si="0"/>
        <v>8.3333333333333339</v>
      </c>
      <c r="G25" s="105">
        <f t="shared" si="1"/>
        <v>7.4</v>
      </c>
    </row>
  </sheetData>
  <conditionalFormatting sqref="G12:G25">
    <cfRule type="iconSet" priority="1">
      <iconSet iconSet="3Symbols2">
        <cfvo type="percent" val="0"/>
        <cfvo type="num" val="5"/>
        <cfvo type="num" val="7"/>
      </iconSet>
    </cfRule>
  </conditionalFormatting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2"/>
  <dimension ref="A1"/>
  <sheetViews>
    <sheetView showGridLines="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8"/>
  <dimension ref="B11:D15"/>
  <sheetViews>
    <sheetView showGridLines="0" workbookViewId="0"/>
  </sheetViews>
  <sheetFormatPr defaultRowHeight="15" x14ac:dyDescent="0.25"/>
  <cols>
    <col min="2" max="2" width="13.5703125" bestFit="1" customWidth="1"/>
    <col min="3" max="3" width="12.7109375" bestFit="1" customWidth="1"/>
    <col min="4" max="4" width="12.140625" bestFit="1" customWidth="1"/>
  </cols>
  <sheetData>
    <row r="11" spans="2:4" ht="15.75" thickBot="1" x14ac:dyDescent="0.3">
      <c r="B11" s="36"/>
      <c r="C11" s="2"/>
      <c r="D11" s="2"/>
    </row>
    <row r="12" spans="2:4" ht="15.75" thickBot="1" x14ac:dyDescent="0.3">
      <c r="B12" s="70"/>
      <c r="C12" s="47"/>
      <c r="D12" s="2"/>
    </row>
    <row r="13" spans="2:4" x14ac:dyDescent="0.25">
      <c r="B13" s="48"/>
      <c r="C13" s="2"/>
      <c r="D13" s="2"/>
    </row>
    <row r="14" spans="2:4" x14ac:dyDescent="0.25">
      <c r="B14" s="2"/>
      <c r="C14" s="10" t="s">
        <v>74</v>
      </c>
      <c r="D14" s="2"/>
    </row>
    <row r="15" spans="2:4" x14ac:dyDescent="0.25">
      <c r="B15" s="2"/>
      <c r="C15" s="2"/>
      <c r="D15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9"/>
  <dimension ref="B11:D15"/>
  <sheetViews>
    <sheetView showGridLines="0" workbookViewId="0"/>
  </sheetViews>
  <sheetFormatPr defaultRowHeight="15" x14ac:dyDescent="0.25"/>
  <cols>
    <col min="2" max="2" width="13.5703125" bestFit="1" customWidth="1"/>
    <col min="3" max="3" width="12.7109375" bestFit="1" customWidth="1"/>
    <col min="4" max="4" width="12.140625" bestFit="1" customWidth="1"/>
  </cols>
  <sheetData>
    <row r="11" spans="2:4" x14ac:dyDescent="0.25">
      <c r="B11" s="36"/>
      <c r="C11" s="2"/>
      <c r="D11" s="2"/>
    </row>
    <row r="12" spans="2:4" x14ac:dyDescent="0.25">
      <c r="B12" s="2"/>
      <c r="C12" s="47"/>
      <c r="D12" s="2"/>
    </row>
    <row r="13" spans="2:4" x14ac:dyDescent="0.25">
      <c r="B13" s="48"/>
      <c r="C13" s="2"/>
      <c r="D13" s="2"/>
    </row>
    <row r="14" spans="2:4" x14ac:dyDescent="0.25">
      <c r="B14" s="2"/>
      <c r="C14" s="2"/>
      <c r="D14" s="2"/>
    </row>
    <row r="15" spans="2:4" x14ac:dyDescent="0.25">
      <c r="B15" s="2"/>
      <c r="C15" s="2"/>
      <c r="D15" s="2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23C275F9-3237-48DE-86C6-1DED5E82456E}">
  <ds:schemaRefs/>
</ds:datastoreItem>
</file>

<file path=customXml/itemProps2.xml><?xml version="1.0" encoding="utf-8"?>
<ds:datastoreItem xmlns:ds="http://schemas.openxmlformats.org/officeDocument/2006/customXml" ds:itemID="{E3ED657A-17FC-4F42-9007-6DDA9CBF3475}">
  <ds:schemaRefs/>
</ds:datastoreItem>
</file>

<file path=customXml/itemProps3.xml><?xml version="1.0" encoding="utf-8"?>
<ds:datastoreItem xmlns:ds="http://schemas.openxmlformats.org/officeDocument/2006/customXml" ds:itemID="{BABCD715-4022-4AB9-8621-D8D068F4A100}">
  <ds:schemaRefs/>
</ds:datastoreItem>
</file>

<file path=customXml/itemProps4.xml><?xml version="1.0" encoding="utf-8"?>
<ds:datastoreItem xmlns:ds="http://schemas.openxmlformats.org/officeDocument/2006/customXml" ds:itemID="{70ED8FF2-8177-44E4-A330-EF81854B9624}">
  <ds:schemaRefs/>
</ds:datastoreItem>
</file>

<file path=customXml/itemProps5.xml><?xml version="1.0" encoding="utf-8"?>
<ds:datastoreItem xmlns:ds="http://schemas.openxmlformats.org/officeDocument/2006/customXml" ds:itemID="{4191FEBE-F2E0-4C9F-AE9F-ACEA2E3E6417}">
  <ds:schemaRefs/>
</ds:datastoreItem>
</file>

<file path=customXml/itemProps6.xml><?xml version="1.0" encoding="utf-8"?>
<ds:datastoreItem xmlns:ds="http://schemas.openxmlformats.org/officeDocument/2006/customXml" ds:itemID="{3E287B26-CA73-4C04-8402-FA527AF2212F}">
  <ds:schemaRefs/>
</ds:datastoreItem>
</file>

<file path=customXml/itemProps7.xml><?xml version="1.0" encoding="utf-8"?>
<ds:datastoreItem xmlns:ds="http://schemas.openxmlformats.org/officeDocument/2006/customXml" ds:itemID="{175D1F6B-C03C-4711-9FEF-098FCC5E2903}">
  <ds:schemaRefs/>
</ds:datastoreItem>
</file>

<file path=customXml/itemProps8.xml><?xml version="1.0" encoding="utf-8"?>
<ds:datastoreItem xmlns:ds="http://schemas.openxmlformats.org/officeDocument/2006/customXml" ds:itemID="{B8BC053D-8950-42F7-BB0C-0362886F618F}">
  <ds:schemaRefs/>
</ds:datastoreItem>
</file>

<file path=customXml/itemProps9.xml><?xml version="1.0" encoding="utf-8"?>
<ds:datastoreItem xmlns:ds="http://schemas.openxmlformats.org/officeDocument/2006/customXml" ds:itemID="{D6687B79-58E1-4128-990A-FAB164BF7CD2}">
  <ds:schemaRefs/>
</ds:datastoreItem>
</file>

<file path=customXml/itemProps10.xml><?xml version="1.0" encoding="utf-8"?>
<ds:datastoreItem xmlns:ds="http://schemas.openxmlformats.org/officeDocument/2006/customXml" ds:itemID="{9C308BF3-839F-4FED-9FB5-846D1DBFA3AF}">
  <ds:schemaRefs/>
</ds:datastoreItem>
</file>

<file path=customXml/itemProps11.xml><?xml version="1.0" encoding="utf-8"?>
<ds:datastoreItem xmlns:ds="http://schemas.openxmlformats.org/officeDocument/2006/customXml" ds:itemID="{D56DEEC7-EDFE-46C5-A744-5262D24BDB71}">
  <ds:schemaRefs/>
</ds:datastoreItem>
</file>

<file path=customXml/itemProps12.xml><?xml version="1.0" encoding="utf-8"?>
<ds:datastoreItem xmlns:ds="http://schemas.openxmlformats.org/officeDocument/2006/customXml" ds:itemID="{2AF31E48-B3EE-40EA-8A47-A8ABC220D733}">
  <ds:schemaRefs/>
</ds:datastoreItem>
</file>

<file path=customXml/itemProps13.xml><?xml version="1.0" encoding="utf-8"?>
<ds:datastoreItem xmlns:ds="http://schemas.openxmlformats.org/officeDocument/2006/customXml" ds:itemID="{73510587-5C17-40E3-9F91-4D8FB52C06E9}">
  <ds:schemaRefs/>
</ds:datastoreItem>
</file>

<file path=customXml/itemProps14.xml><?xml version="1.0" encoding="utf-8"?>
<ds:datastoreItem xmlns:ds="http://schemas.openxmlformats.org/officeDocument/2006/customXml" ds:itemID="{698DA71F-84C2-47F2-AC59-0462012AC212}">
  <ds:schemaRefs/>
</ds:datastoreItem>
</file>

<file path=customXml/itemProps15.xml><?xml version="1.0" encoding="utf-8"?>
<ds:datastoreItem xmlns:ds="http://schemas.openxmlformats.org/officeDocument/2006/customXml" ds:itemID="{556943EA-50D5-4FA3-AAAD-62732B855F56}">
  <ds:schemaRefs/>
</ds:datastoreItem>
</file>

<file path=customXml/itemProps16.xml><?xml version="1.0" encoding="utf-8"?>
<ds:datastoreItem xmlns:ds="http://schemas.openxmlformats.org/officeDocument/2006/customXml" ds:itemID="{AABE59D3-BE98-4098-9DCE-2B18F4BB43F0}">
  <ds:schemaRefs/>
</ds:datastoreItem>
</file>

<file path=customXml/itemProps17.xml><?xml version="1.0" encoding="utf-8"?>
<ds:datastoreItem xmlns:ds="http://schemas.openxmlformats.org/officeDocument/2006/customXml" ds:itemID="{7AE75570-8BAF-47C7-B786-AAB290938819}">
  <ds:schemaRefs/>
</ds:datastoreItem>
</file>

<file path=customXml/itemProps18.xml><?xml version="1.0" encoding="utf-8"?>
<ds:datastoreItem xmlns:ds="http://schemas.openxmlformats.org/officeDocument/2006/customXml" ds:itemID="{CDC5057F-013B-4F97-B1F1-9DBFEF44829B}">
  <ds:schemaRefs/>
</ds:datastoreItem>
</file>

<file path=customXml/itemProps19.xml><?xml version="1.0" encoding="utf-8"?>
<ds:datastoreItem xmlns:ds="http://schemas.openxmlformats.org/officeDocument/2006/customXml" ds:itemID="{60AFFDDF-1EDF-4C34-803A-4237BC8844AF}">
  <ds:schemaRefs/>
</ds:datastoreItem>
</file>

<file path=customXml/itemProps20.xml><?xml version="1.0" encoding="utf-8"?>
<ds:datastoreItem xmlns:ds="http://schemas.openxmlformats.org/officeDocument/2006/customXml" ds:itemID="{5A846CFE-0A41-44CB-900A-604CE8F69E3A}">
  <ds:schemaRefs/>
</ds:datastoreItem>
</file>

<file path=customXml/itemProps21.xml><?xml version="1.0" encoding="utf-8"?>
<ds:datastoreItem xmlns:ds="http://schemas.openxmlformats.org/officeDocument/2006/customXml" ds:itemID="{1C37FC99-36A1-4247-8975-842CD47CBF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30</vt:i4>
      </vt:variant>
      <vt:variant>
        <vt:lpstr>Intervalos nomeados</vt:lpstr>
      </vt:variant>
      <vt:variant>
        <vt:i4>6</vt:i4>
      </vt:variant>
    </vt:vector>
  </HeadingPairs>
  <TitlesOfParts>
    <vt:vector size="36" baseType="lpstr">
      <vt:lpstr>1-Novidades 2010</vt:lpstr>
      <vt:lpstr>Selecionando Células</vt:lpstr>
      <vt:lpstr>Deslocando-se</vt:lpstr>
      <vt:lpstr>Caixa de Nome</vt:lpstr>
      <vt:lpstr>Importância do ESC</vt:lpstr>
      <vt:lpstr>Introdução ao igual (=)</vt:lpstr>
      <vt:lpstr>Vinculo</vt:lpstr>
      <vt:lpstr>Vinculo Nomes</vt:lpstr>
      <vt:lpstr>Operações básicas</vt:lpstr>
      <vt:lpstr>Fórmula SOMA</vt:lpstr>
      <vt:lpstr>Bordas</vt:lpstr>
      <vt:lpstr>Altura e Largura</vt:lpstr>
      <vt:lpstr>Mesclar</vt:lpstr>
      <vt:lpstr>Cores</vt:lpstr>
      <vt:lpstr>Pincel</vt:lpstr>
      <vt:lpstr>Numeros</vt:lpstr>
      <vt:lpstr>Personalizada</vt:lpstr>
      <vt:lpstr>Texto</vt:lpstr>
      <vt:lpstr>Datas</vt:lpstr>
      <vt:lpstr>Copiar e Recortar</vt:lpstr>
      <vt:lpstr>Arrastar</vt:lpstr>
      <vt:lpstr>Listas Prontas e personalizadas</vt:lpstr>
      <vt:lpstr>Cifrão</vt:lpstr>
      <vt:lpstr>Colar especial</vt:lpstr>
      <vt:lpstr>Ir para + Selecionar especial</vt:lpstr>
      <vt:lpstr>Inserir, Excluir e Ocultar</vt:lpstr>
      <vt:lpstr>COPIAR PLANILHA</vt:lpstr>
      <vt:lpstr>COLAR TABELA NOTAS</vt:lpstr>
      <vt:lpstr>Grupos de planilhas (1)</vt:lpstr>
      <vt:lpstr>Grupos de planilhas (2)</vt:lpstr>
      <vt:lpstr>pritrimestre</vt:lpstr>
      <vt:lpstr>totalcelular</vt:lpstr>
      <vt:lpstr>totaldvd</vt:lpstr>
      <vt:lpstr>totalgeral</vt:lpstr>
      <vt:lpstr>TOTALMESES</vt:lpstr>
      <vt:lpstr>totaltv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</dc:creator>
  <cp:lastModifiedBy>Aluno</cp:lastModifiedBy>
  <cp:lastPrinted>2012-09-08T16:10:46Z</cp:lastPrinted>
  <dcterms:created xsi:type="dcterms:W3CDTF">2012-06-25T21:29:36Z</dcterms:created>
  <dcterms:modified xsi:type="dcterms:W3CDTF">2026-01-17T18:44:26Z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5</vt:i4>
  </property>
</Properties>
</file>