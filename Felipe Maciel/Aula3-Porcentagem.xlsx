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firstSheet="1" activeTab="10"/>
  </bookViews>
  <sheets>
    <sheet name="Plan1" sheetId="1" r:id="rId1"/>
    <sheet name="Atividade (Questão 1)" sheetId="2" r:id="rId2"/>
    <sheet name="Questão 2" sheetId="3" r:id="rId3"/>
    <sheet name="Questão 3" sheetId="4" r:id="rId4"/>
    <sheet name="Questão 4" sheetId="5" r:id="rId5"/>
    <sheet name="Questão 5" sheetId="6" r:id="rId6"/>
    <sheet name="Questão 6" sheetId="7" r:id="rId7"/>
    <sheet name="Questão 7" sheetId="8" r:id="rId8"/>
    <sheet name="Questão 8" sheetId="9" r:id="rId9"/>
    <sheet name="Questão 9" sheetId="10" r:id="rId10"/>
    <sheet name="Questão 10" sheetId="11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11" l="1"/>
  <c r="C5" i="9"/>
  <c r="C4" i="8"/>
  <c r="D5" i="10"/>
  <c r="D4" i="10"/>
  <c r="D3" i="10"/>
  <c r="E4" i="7"/>
  <c r="E3" i="7"/>
  <c r="C3" i="6"/>
  <c r="D5" i="5"/>
  <c r="D4" i="5"/>
  <c r="D3" i="5"/>
  <c r="D5" i="4"/>
  <c r="D4" i="4"/>
  <c r="D3" i="4"/>
  <c r="D5" i="3"/>
  <c r="D4" i="3"/>
  <c r="D3" i="3"/>
  <c r="D4" i="2"/>
  <c r="D3" i="2"/>
  <c r="D2" i="2"/>
  <c r="D12" i="1"/>
  <c r="C12" i="1"/>
  <c r="D11" i="1"/>
  <c r="C11" i="1"/>
  <c r="D10" i="1"/>
  <c r="C10" i="1"/>
  <c r="D9" i="1"/>
  <c r="C9" i="1"/>
</calcChain>
</file>

<file path=xl/sharedStrings.xml><?xml version="1.0" encoding="utf-8"?>
<sst xmlns="http://schemas.openxmlformats.org/spreadsheetml/2006/main" count="71" uniqueCount="55">
  <si>
    <t>Vendedor</t>
  </si>
  <si>
    <t>João Gomes</t>
  </si>
  <si>
    <t>Leronardo</t>
  </si>
  <si>
    <t>Bruno</t>
  </si>
  <si>
    <t>Ana</t>
  </si>
  <si>
    <t>Luciano</t>
  </si>
  <si>
    <t>Mirosmar</t>
  </si>
  <si>
    <t>Total</t>
  </si>
  <si>
    <t>Média</t>
  </si>
  <si>
    <t>Valor Máximo</t>
  </si>
  <si>
    <t>Valor Mínimo</t>
  </si>
  <si>
    <t>itens vendidos</t>
  </si>
  <si>
    <t>valor vendido</t>
  </si>
  <si>
    <t>Cidade</t>
  </si>
  <si>
    <t>Alto Santo</t>
  </si>
  <si>
    <t>Quixadá</t>
  </si>
  <si>
    <t>Quixeramobim</t>
  </si>
  <si>
    <t>Situação da meta</t>
  </si>
  <si>
    <t>Meta</t>
  </si>
  <si>
    <t>Produto A</t>
  </si>
  <si>
    <t>Produto B</t>
  </si>
  <si>
    <t>Produto C</t>
  </si>
  <si>
    <t>Preço Orig.</t>
  </si>
  <si>
    <t>Produtos</t>
  </si>
  <si>
    <t>Preço com aumento</t>
  </si>
  <si>
    <t>% de aumento</t>
  </si>
  <si>
    <t>Produto</t>
  </si>
  <si>
    <t>Preço com Aumento</t>
  </si>
  <si>
    <t>Produto x</t>
  </si>
  <si>
    <t>Produto y</t>
  </si>
  <si>
    <t>produto z</t>
  </si>
  <si>
    <t>Categoria</t>
  </si>
  <si>
    <t>Vendas</t>
  </si>
  <si>
    <t>Porcentagem do Total</t>
  </si>
  <si>
    <t>A</t>
  </si>
  <si>
    <t>B</t>
  </si>
  <si>
    <t>C</t>
  </si>
  <si>
    <t>Departamento</t>
  </si>
  <si>
    <t>Faturamento</t>
  </si>
  <si>
    <t>Percentual</t>
  </si>
  <si>
    <t>Marketing</t>
  </si>
  <si>
    <t>TI</t>
  </si>
  <si>
    <t>Faturamento Total</t>
  </si>
  <si>
    <t>Salário</t>
  </si>
  <si>
    <t>Bônus</t>
  </si>
  <si>
    <t>Preço Original</t>
  </si>
  <si>
    <t>Percentual de Aumento</t>
  </si>
  <si>
    <t>preço Final</t>
  </si>
  <si>
    <t>Clientes</t>
  </si>
  <si>
    <t>Aumento</t>
  </si>
  <si>
    <t>Valor v.</t>
  </si>
  <si>
    <t>Número de Preferências</t>
  </si>
  <si>
    <t>Preço C.</t>
  </si>
  <si>
    <t>Preço V.</t>
  </si>
  <si>
    <t>Lucro 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</si>
</sst>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&quot;R$&quot;\ * #,##0.00_-;\-&quot;R$&quot;\ * #,##0.00_-;_-&quot;R$&quot;\ * &quot;-&quot;??_-;_-@_-"/>
    <numFmt numFmtId="171" formatCode="_-&quot;R$&quot;\ * #,##0.000_-;\-&quot;R$&quot;\ * #,##0.0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44" fontId="0" fillId="3" borderId="1" xfId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44" fontId="0" fillId="0" borderId="0" xfId="1" applyFont="1"/>
    <xf numFmtId="44" fontId="0" fillId="0" borderId="0" xfId="1" applyFont="1" applyAlignment="1">
      <alignment horizontal="center"/>
    </xf>
    <xf numFmtId="0" fontId="0" fillId="4" borderId="1" xfId="0" applyFill="1" applyBorder="1" applyAlignment="1">
      <alignment horizontal="center"/>
    </xf>
    <xf numFmtId="44" fontId="0" fillId="0" borderId="1" xfId="1" applyFont="1" applyBorder="1" applyAlignment="1">
      <alignment horizontal="center"/>
    </xf>
    <xf numFmtId="44" fontId="0" fillId="0" borderId="1" xfId="0" applyNumberFormat="1" applyBorder="1" applyAlignment="1">
      <alignment horizontal="center"/>
    </xf>
    <xf numFmtId="9" fontId="0" fillId="0" borderId="0" xfId="2" applyFont="1"/>
    <xf numFmtId="0" fontId="0" fillId="4" borderId="1" xfId="0" applyFill="1" applyBorder="1"/>
    <xf numFmtId="171" fontId="0" fillId="0" borderId="0" xfId="1" applyNumberFormat="1" applyFont="1" applyAlignment="1">
      <alignment horizontal="center"/>
    </xf>
    <xf numFmtId="0" fontId="0" fillId="4" borderId="1" xfId="0" applyFill="1" applyBorder="1" applyAlignment="1">
      <alignment horizontal="left"/>
    </xf>
    <xf numFmtId="9" fontId="0" fillId="0" borderId="0" xfId="2" applyFont="1" applyAlignment="1">
      <alignment horizontal="left"/>
    </xf>
    <xf numFmtId="44" fontId="0" fillId="0" borderId="0" xfId="1" applyFont="1" applyAlignment="1">
      <alignment horizontal="left"/>
    </xf>
    <xf numFmtId="44" fontId="0" fillId="0" borderId="0" xfId="0" applyNumberFormat="1"/>
    <xf numFmtId="9" fontId="0" fillId="0" borderId="0" xfId="2" applyNumberFormat="1" applyFont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2"/>
  <sheetViews>
    <sheetView workbookViewId="0">
      <selection activeCell="F19" sqref="F19"/>
    </sheetView>
  </sheetViews>
  <sheetFormatPr defaultRowHeight="15" x14ac:dyDescent="0.25"/>
  <cols>
    <col min="2" max="2" width="13.7109375" style="1" customWidth="1"/>
    <col min="3" max="3" width="16.7109375" style="1" customWidth="1"/>
    <col min="4" max="4" width="18.5703125" style="1" customWidth="1"/>
    <col min="5" max="5" width="19.7109375" style="1" customWidth="1"/>
    <col min="6" max="6" width="18.42578125" customWidth="1"/>
  </cols>
  <sheetData>
    <row r="2" spans="2:7" x14ac:dyDescent="0.25">
      <c r="B2" s="8" t="s">
        <v>0</v>
      </c>
      <c r="C2" s="8" t="s">
        <v>11</v>
      </c>
      <c r="D2" s="8" t="s">
        <v>12</v>
      </c>
      <c r="E2" s="8" t="s">
        <v>13</v>
      </c>
      <c r="F2" s="8" t="s">
        <v>17</v>
      </c>
      <c r="G2" s="8" t="s">
        <v>18</v>
      </c>
    </row>
    <row r="3" spans="2:7" x14ac:dyDescent="0.25">
      <c r="B3" s="3" t="s">
        <v>1</v>
      </c>
      <c r="C3" s="4">
        <v>102</v>
      </c>
      <c r="D3" s="7">
        <v>5125</v>
      </c>
      <c r="E3" s="3" t="s">
        <v>14</v>
      </c>
      <c r="F3" s="4"/>
      <c r="G3" s="4">
        <v>9000</v>
      </c>
    </row>
    <row r="4" spans="2:7" x14ac:dyDescent="0.25">
      <c r="B4" s="3" t="s">
        <v>2</v>
      </c>
      <c r="C4" s="4">
        <v>232</v>
      </c>
      <c r="D4" s="7">
        <v>11237</v>
      </c>
      <c r="E4" s="3" t="s">
        <v>15</v>
      </c>
      <c r="F4" s="4"/>
      <c r="G4" s="4">
        <v>9000</v>
      </c>
    </row>
    <row r="5" spans="2:7" x14ac:dyDescent="0.25">
      <c r="B5" s="3" t="s">
        <v>3</v>
      </c>
      <c r="C5" s="4">
        <v>245</v>
      </c>
      <c r="D5" s="7">
        <v>13548</v>
      </c>
      <c r="E5" s="3" t="s">
        <v>16</v>
      </c>
      <c r="F5" s="4"/>
      <c r="G5" s="4">
        <v>9000</v>
      </c>
    </row>
    <row r="6" spans="2:7" x14ac:dyDescent="0.25">
      <c r="B6" s="3" t="s">
        <v>4</v>
      </c>
      <c r="C6" s="4">
        <v>129</v>
      </c>
      <c r="D6" s="7">
        <v>8945</v>
      </c>
      <c r="E6" s="3" t="s">
        <v>16</v>
      </c>
      <c r="F6" s="4"/>
      <c r="G6" s="4">
        <v>9000</v>
      </c>
    </row>
    <row r="7" spans="2:7" x14ac:dyDescent="0.25">
      <c r="B7" s="3" t="s">
        <v>5</v>
      </c>
      <c r="C7" s="4">
        <v>158</v>
      </c>
      <c r="D7" s="7">
        <v>7985</v>
      </c>
      <c r="E7" s="3" t="s">
        <v>14</v>
      </c>
      <c r="F7" s="4"/>
      <c r="G7" s="4">
        <v>9000</v>
      </c>
    </row>
    <row r="8" spans="2:7" x14ac:dyDescent="0.25">
      <c r="B8" s="3" t="s">
        <v>6</v>
      </c>
      <c r="C8" s="4">
        <v>236</v>
      </c>
      <c r="D8" s="7">
        <v>9654</v>
      </c>
      <c r="E8" s="3" t="s">
        <v>16</v>
      </c>
      <c r="F8" s="4"/>
      <c r="G8" s="4">
        <v>9000</v>
      </c>
    </row>
    <row r="9" spans="2:7" x14ac:dyDescent="0.25">
      <c r="B9" s="8" t="s">
        <v>7</v>
      </c>
      <c r="C9" s="4">
        <f>SUM(C3:C8)</f>
        <v>1102</v>
      </c>
      <c r="D9" s="7">
        <f>SUM(D3:D8)</f>
        <v>56494</v>
      </c>
    </row>
    <row r="10" spans="2:7" x14ac:dyDescent="0.25">
      <c r="B10" s="8" t="s">
        <v>8</v>
      </c>
      <c r="C10" s="6">
        <f>AVERAGE(C3:C8)</f>
        <v>183.66666666666666</v>
      </c>
      <c r="D10" s="7">
        <f>AVERAGE(D3:D8)</f>
        <v>9415.6666666666661</v>
      </c>
    </row>
    <row r="11" spans="2:7" x14ac:dyDescent="0.25">
      <c r="B11" s="8" t="s">
        <v>9</v>
      </c>
      <c r="C11" s="4">
        <f>MAX(C3:C8)</f>
        <v>245</v>
      </c>
      <c r="D11" s="7">
        <f>MAX(D3:D8)</f>
        <v>13548</v>
      </c>
    </row>
    <row r="12" spans="2:7" x14ac:dyDescent="0.25">
      <c r="B12" s="8" t="s">
        <v>10</v>
      </c>
      <c r="C12" s="4">
        <f>MIN(C3:C8)</f>
        <v>102</v>
      </c>
      <c r="D12" s="7">
        <f>MIN(D3:D8)</f>
        <v>5125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4"/>
  <sheetViews>
    <sheetView workbookViewId="0">
      <selection activeCell="D2" sqref="D2"/>
    </sheetView>
  </sheetViews>
  <sheetFormatPr defaultRowHeight="15" x14ac:dyDescent="0.25"/>
  <cols>
    <col min="2" max="2" width="12" style="1" customWidth="1"/>
    <col min="3" max="3" width="12.28515625" style="1" customWidth="1"/>
    <col min="4" max="4" width="19.140625" style="1" customWidth="1"/>
    <col min="6" max="6" width="17.140625" style="1" customWidth="1"/>
  </cols>
  <sheetData>
    <row r="1" spans="2:6" x14ac:dyDescent="0.25">
      <c r="B1" s="1" t="s">
        <v>23</v>
      </c>
      <c r="C1" s="1" t="s">
        <v>22</v>
      </c>
      <c r="D1" s="1" t="s">
        <v>24</v>
      </c>
      <c r="F1" s="1" t="s">
        <v>25</v>
      </c>
    </row>
    <row r="2" spans="2:6" x14ac:dyDescent="0.25">
      <c r="B2" s="1" t="s">
        <v>19</v>
      </c>
      <c r="C2" s="1">
        <v>100</v>
      </c>
      <c r="D2" s="1">
        <f>C2+C2*0.15</f>
        <v>115</v>
      </c>
      <c r="F2" s="10">
        <v>0.2</v>
      </c>
    </row>
    <row r="3" spans="2:6" x14ac:dyDescent="0.25">
      <c r="B3" s="1" t="s">
        <v>20</v>
      </c>
      <c r="C3" s="1">
        <v>250</v>
      </c>
      <c r="D3" s="1">
        <f>C3+C3*0.15</f>
        <v>287.5</v>
      </c>
    </row>
    <row r="4" spans="2:6" x14ac:dyDescent="0.25">
      <c r="B4" s="1" t="s">
        <v>21</v>
      </c>
      <c r="C4" s="1">
        <v>180</v>
      </c>
      <c r="D4" s="1">
        <f>C4*(1+F2)</f>
        <v>216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5"/>
  <sheetViews>
    <sheetView workbookViewId="0">
      <selection activeCell="D3" sqref="D3"/>
    </sheetView>
  </sheetViews>
  <sheetFormatPr defaultRowHeight="15" x14ac:dyDescent="0.25"/>
  <cols>
    <col min="2" max="2" width="10.28515625" style="1" customWidth="1"/>
    <col min="3" max="3" width="12" style="1" customWidth="1"/>
    <col min="4" max="4" width="20.28515625" style="1" customWidth="1"/>
  </cols>
  <sheetData>
    <row r="2" spans="2:4" x14ac:dyDescent="0.25">
      <c r="B2" s="13" t="s">
        <v>26</v>
      </c>
      <c r="C2" s="13" t="s">
        <v>22</v>
      </c>
      <c r="D2" s="13" t="s">
        <v>27</v>
      </c>
    </row>
    <row r="3" spans="2:4" x14ac:dyDescent="0.25">
      <c r="B3" s="5" t="s">
        <v>28</v>
      </c>
      <c r="C3" s="14">
        <v>150</v>
      </c>
      <c r="D3" s="15">
        <f>C3-(C3*0.2)</f>
        <v>120</v>
      </c>
    </row>
    <row r="4" spans="2:4" x14ac:dyDescent="0.25">
      <c r="B4" s="5" t="s">
        <v>29</v>
      </c>
      <c r="C4" s="14">
        <v>320</v>
      </c>
      <c r="D4" s="15">
        <f>C4-(C4*0.2)</f>
        <v>256</v>
      </c>
    </row>
    <row r="5" spans="2:4" x14ac:dyDescent="0.25">
      <c r="B5" s="5" t="s">
        <v>30</v>
      </c>
      <c r="C5" s="14">
        <v>90</v>
      </c>
      <c r="D5" s="15">
        <f>C5-(C5*0.2)</f>
        <v>72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5"/>
  <sheetViews>
    <sheetView workbookViewId="0">
      <selection activeCell="D3" sqref="D3"/>
    </sheetView>
  </sheetViews>
  <sheetFormatPr defaultRowHeight="15" x14ac:dyDescent="0.25"/>
  <cols>
    <col min="2" max="2" width="10.5703125" style="2" customWidth="1"/>
    <col min="3" max="3" width="11.140625" style="2" customWidth="1"/>
    <col min="4" max="4" width="22.28515625" style="1" customWidth="1"/>
  </cols>
  <sheetData>
    <row r="2" spans="2:4" x14ac:dyDescent="0.25">
      <c r="B2" s="2" t="s">
        <v>31</v>
      </c>
      <c r="C2" s="2" t="s">
        <v>32</v>
      </c>
      <c r="D2" s="1" t="s">
        <v>33</v>
      </c>
    </row>
    <row r="3" spans="2:4" x14ac:dyDescent="0.25">
      <c r="B3" s="2" t="s">
        <v>34</v>
      </c>
      <c r="C3" s="2">
        <v>30</v>
      </c>
      <c r="D3" s="9">
        <f>C3/120</f>
        <v>0.25</v>
      </c>
    </row>
    <row r="4" spans="2:4" x14ac:dyDescent="0.25">
      <c r="B4" s="2" t="s">
        <v>35</v>
      </c>
      <c r="C4" s="2">
        <v>50</v>
      </c>
      <c r="D4" s="9">
        <f>C4/120</f>
        <v>0.41666666666666669</v>
      </c>
    </row>
    <row r="5" spans="2:4" x14ac:dyDescent="0.25">
      <c r="B5" s="2" t="s">
        <v>36</v>
      </c>
      <c r="C5" s="2">
        <v>40</v>
      </c>
      <c r="D5" s="9">
        <f>C5/120</f>
        <v>0.33333333333333331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5"/>
  <sheetViews>
    <sheetView workbookViewId="0">
      <selection activeCell="F3" sqref="F3"/>
    </sheetView>
  </sheetViews>
  <sheetFormatPr defaultRowHeight="15" x14ac:dyDescent="0.25"/>
  <cols>
    <col min="2" max="2" width="14.85546875" style="2" customWidth="1"/>
    <col min="3" max="3" width="15.85546875" style="1" customWidth="1"/>
    <col min="4" max="4" width="11.5703125" style="1" customWidth="1"/>
    <col min="6" max="6" width="19" style="1" customWidth="1"/>
  </cols>
  <sheetData>
    <row r="2" spans="2:6" x14ac:dyDescent="0.25">
      <c r="B2" s="19" t="s">
        <v>37</v>
      </c>
      <c r="C2" s="13" t="s">
        <v>38</v>
      </c>
      <c r="D2" s="13" t="s">
        <v>39</v>
      </c>
      <c r="F2" s="13" t="s">
        <v>42</v>
      </c>
    </row>
    <row r="3" spans="2:6" x14ac:dyDescent="0.25">
      <c r="B3" s="2" t="s">
        <v>40</v>
      </c>
      <c r="C3" s="18">
        <v>150000</v>
      </c>
      <c r="D3" s="9">
        <f>C3/F3</f>
        <v>0.3</v>
      </c>
      <c r="F3" s="18">
        <v>500000</v>
      </c>
    </row>
    <row r="4" spans="2:6" x14ac:dyDescent="0.25">
      <c r="B4" s="2" t="s">
        <v>32</v>
      </c>
      <c r="C4" s="18">
        <v>250000</v>
      </c>
      <c r="D4" s="9">
        <f>C4/F3</f>
        <v>0.5</v>
      </c>
    </row>
    <row r="5" spans="2:6" x14ac:dyDescent="0.25">
      <c r="B5" s="2" t="s">
        <v>41</v>
      </c>
      <c r="C5" s="18">
        <v>100000</v>
      </c>
      <c r="D5" s="9">
        <f>C5/F3</f>
        <v>0.2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3"/>
  <sheetViews>
    <sheetView workbookViewId="0">
      <selection activeCell="C3" sqref="C3"/>
    </sheetView>
  </sheetViews>
  <sheetFormatPr defaultRowHeight="15" x14ac:dyDescent="0.25"/>
  <sheetData>
    <row r="2" spans="2:3" x14ac:dyDescent="0.25">
      <c r="B2" s="17" t="s">
        <v>43</v>
      </c>
      <c r="C2">
        <v>3000</v>
      </c>
    </row>
    <row r="3" spans="2:3" x14ac:dyDescent="0.25">
      <c r="B3" s="17" t="s">
        <v>44</v>
      </c>
      <c r="C3">
        <f>C2+(C2*0.1)</f>
        <v>3300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4"/>
  <sheetViews>
    <sheetView workbookViewId="0">
      <selection activeCell="E4" sqref="E4"/>
    </sheetView>
  </sheetViews>
  <sheetFormatPr defaultRowHeight="15" x14ac:dyDescent="0.25"/>
  <cols>
    <col min="2" max="2" width="14.140625" customWidth="1"/>
    <col min="3" max="3" width="15.42578125" style="2" customWidth="1"/>
    <col min="4" max="4" width="22.85546875" style="2" customWidth="1"/>
    <col min="5" max="5" width="13.42578125" customWidth="1"/>
  </cols>
  <sheetData>
    <row r="2" spans="2:5" x14ac:dyDescent="0.25">
      <c r="B2" s="17" t="s">
        <v>26</v>
      </c>
      <c r="C2" s="19" t="s">
        <v>45</v>
      </c>
      <c r="D2" s="19" t="s">
        <v>46</v>
      </c>
      <c r="E2" s="17" t="s">
        <v>47</v>
      </c>
    </row>
    <row r="3" spans="2:5" x14ac:dyDescent="0.25">
      <c r="B3" t="s">
        <v>19</v>
      </c>
      <c r="C3" s="21">
        <v>100</v>
      </c>
      <c r="D3" s="20">
        <v>0.08</v>
      </c>
      <c r="E3" s="22">
        <f>C3+(C3*D3)</f>
        <v>108</v>
      </c>
    </row>
    <row r="4" spans="2:5" x14ac:dyDescent="0.25">
      <c r="B4" t="s">
        <v>20</v>
      </c>
      <c r="C4" s="21">
        <v>200</v>
      </c>
      <c r="D4" s="20">
        <v>0.12</v>
      </c>
      <c r="E4" s="22">
        <f>C4+(C4*D4)</f>
        <v>224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4"/>
  <sheetViews>
    <sheetView workbookViewId="0">
      <selection activeCell="C5" sqref="C5"/>
    </sheetView>
  </sheetViews>
  <sheetFormatPr defaultRowHeight="15" x14ac:dyDescent="0.25"/>
  <cols>
    <col min="2" max="2" width="10.42578125" style="1" customWidth="1"/>
    <col min="3" max="3" width="12.140625" style="1" bestFit="1" customWidth="1"/>
  </cols>
  <sheetData>
    <row r="2" spans="2:3" x14ac:dyDescent="0.25">
      <c r="B2" s="13" t="s">
        <v>48</v>
      </c>
      <c r="C2" s="1">
        <v>500</v>
      </c>
    </row>
    <row r="3" spans="2:3" x14ac:dyDescent="0.25">
      <c r="B3" s="13" t="s">
        <v>49</v>
      </c>
      <c r="C3" s="1">
        <v>650</v>
      </c>
    </row>
    <row r="4" spans="2:3" x14ac:dyDescent="0.25">
      <c r="B4" s="13" t="s">
        <v>39</v>
      </c>
      <c r="C4" s="23">
        <f>(C3 - C2) / C2</f>
        <v>0.3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5"/>
  <sheetViews>
    <sheetView workbookViewId="0">
      <selection activeCell="C5" sqref="C5"/>
    </sheetView>
  </sheetViews>
  <sheetFormatPr defaultRowHeight="15" x14ac:dyDescent="0.25"/>
  <cols>
    <col min="2" max="2" width="11.140625" customWidth="1"/>
    <col min="3" max="3" width="14.28515625" bestFit="1" customWidth="1"/>
  </cols>
  <sheetData>
    <row r="2" spans="2:3" x14ac:dyDescent="0.25">
      <c r="B2" s="17" t="s">
        <v>18</v>
      </c>
      <c r="C2" s="11">
        <v>50000</v>
      </c>
    </row>
    <row r="3" spans="2:3" x14ac:dyDescent="0.25">
      <c r="B3" s="17" t="s">
        <v>50</v>
      </c>
      <c r="C3" s="11">
        <v>42000</v>
      </c>
    </row>
    <row r="5" spans="2:3" x14ac:dyDescent="0.25">
      <c r="B5" s="17" t="s">
        <v>39</v>
      </c>
      <c r="C5" s="16">
        <f>C3/C2</f>
        <v>0.84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5"/>
  <sheetViews>
    <sheetView workbookViewId="0">
      <selection activeCell="D2" sqref="D2"/>
    </sheetView>
  </sheetViews>
  <sheetFormatPr defaultRowHeight="15" x14ac:dyDescent="0.25"/>
  <cols>
    <col min="2" max="2" width="10.7109375" style="1" customWidth="1"/>
    <col min="3" max="3" width="25.85546875" style="1" customWidth="1"/>
    <col min="4" max="4" width="12" style="1" customWidth="1"/>
  </cols>
  <sheetData>
    <row r="2" spans="2:4" x14ac:dyDescent="0.25">
      <c r="B2" s="13" t="s">
        <v>26</v>
      </c>
      <c r="C2" s="13" t="s">
        <v>51</v>
      </c>
      <c r="D2" s="13" t="s">
        <v>39</v>
      </c>
    </row>
    <row r="3" spans="2:4" x14ac:dyDescent="0.25">
      <c r="B3" s="1" t="s">
        <v>19</v>
      </c>
      <c r="C3" s="1">
        <v>80</v>
      </c>
      <c r="D3" s="9">
        <f>C3/200</f>
        <v>0.4</v>
      </c>
    </row>
    <row r="4" spans="2:4" x14ac:dyDescent="0.25">
      <c r="B4" s="1" t="s">
        <v>20</v>
      </c>
      <c r="C4" s="1">
        <v>60</v>
      </c>
      <c r="D4" s="9">
        <f>C4/200</f>
        <v>0.3</v>
      </c>
    </row>
    <row r="5" spans="2:4" x14ac:dyDescent="0.25">
      <c r="B5" s="1" t="s">
        <v>21</v>
      </c>
      <c r="C5" s="1">
        <v>60</v>
      </c>
      <c r="D5" s="9">
        <f>C5/200</f>
        <v>0.3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4"/>
  <sheetViews>
    <sheetView tabSelected="1" workbookViewId="0">
      <selection activeCell="C5" sqref="C5"/>
    </sheetView>
  </sheetViews>
  <sheetFormatPr defaultRowHeight="15" x14ac:dyDescent="0.25"/>
  <cols>
    <col min="3" max="3" width="10.5703125" style="1" bestFit="1" customWidth="1"/>
  </cols>
  <sheetData>
    <row r="2" spans="2:3" x14ac:dyDescent="0.25">
      <c r="B2" s="17" t="s">
        <v>52</v>
      </c>
      <c r="C2" s="12">
        <v>200</v>
      </c>
    </row>
    <row r="3" spans="2:3" x14ac:dyDescent="0.25">
      <c r="B3" s="17" t="s">
        <v>53</v>
      </c>
      <c r="C3" s="12">
        <v>280</v>
      </c>
    </row>
    <row r="4" spans="2:3" x14ac:dyDescent="0.25">
      <c r="B4" s="17" t="s">
        <v>54</v>
      </c>
      <c r="C4" s="9">
        <f>(C3 - C2 ) / C2</f>
        <v>0.4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11</vt:i4>
      </vt:variant>
    </vt:vector>
  </HeadingPairs>
  <TitlesOfParts>
    <vt:vector size="11" baseType="lpstr">
      <vt:lpstr>Plan1</vt:lpstr>
      <vt:lpstr>Atividade (Questão 1)</vt:lpstr>
      <vt:lpstr>Questão 2</vt:lpstr>
      <vt:lpstr>Questão 3</vt:lpstr>
      <vt:lpstr>Questão 4</vt:lpstr>
      <vt:lpstr>Questão 5</vt:lpstr>
      <vt:lpstr>Questão 6</vt:lpstr>
      <vt:lpstr>Questão 7</vt:lpstr>
      <vt:lpstr>Questão 8</vt:lpstr>
      <vt:lpstr>Questão 9</vt:lpstr>
      <vt:lpstr>Questão 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2025-12-06T19:34:19Z</dcterms:modified>
</cp:coreProperties>
</file>