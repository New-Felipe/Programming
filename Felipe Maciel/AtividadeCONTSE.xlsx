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  <sheet name="Validaçã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  <c r="C32" i="1"/>
  <c r="C33" i="1"/>
  <c r="C34" i="1"/>
  <c r="C35" i="1"/>
  <c r="C30" i="1"/>
  <c r="C24" i="1"/>
  <c r="C25" i="1"/>
  <c r="C26" i="1"/>
  <c r="C23" i="1"/>
  <c r="C19" i="1"/>
  <c r="C18" i="1"/>
  <c r="I4" i="1"/>
  <c r="I5" i="1"/>
  <c r="I6" i="1"/>
  <c r="I7" i="1"/>
  <c r="I8" i="1"/>
  <c r="I9" i="1"/>
  <c r="I10" i="1"/>
  <c r="I11" i="1"/>
  <c r="I12" i="1"/>
  <c r="I13" i="1"/>
  <c r="I14" i="1"/>
  <c r="I3" i="1"/>
  <c r="G4" i="1"/>
  <c r="G5" i="1"/>
  <c r="G6" i="1"/>
  <c r="G7" i="1"/>
  <c r="G8" i="1"/>
  <c r="G9" i="1"/>
  <c r="G10" i="1"/>
  <c r="G11" i="1"/>
  <c r="G12" i="1"/>
  <c r="G13" i="1"/>
  <c r="G14" i="1"/>
  <c r="G3" i="1"/>
  <c r="H12" i="1"/>
  <c r="H13" i="1"/>
  <c r="H14" i="1"/>
  <c r="H4" i="1"/>
  <c r="H5" i="1"/>
  <c r="H6" i="1"/>
  <c r="H7" i="1"/>
  <c r="H8" i="1"/>
  <c r="H9" i="1"/>
  <c r="H10" i="1"/>
  <c r="H11" i="1"/>
  <c r="H3" i="1"/>
</calcChain>
</file>

<file path=xl/sharedStrings.xml><?xml version="1.0" encoding="utf-8"?>
<sst xmlns="http://schemas.openxmlformats.org/spreadsheetml/2006/main" count="54" uniqueCount="34">
  <si>
    <t>Nome</t>
  </si>
  <si>
    <t>Idade</t>
  </si>
  <si>
    <t>Gênero</t>
  </si>
  <si>
    <t>F. Etária</t>
  </si>
  <si>
    <t>Peso</t>
  </si>
  <si>
    <t>Altura</t>
  </si>
  <si>
    <t>IMC</t>
  </si>
  <si>
    <t>Masculino</t>
  </si>
  <si>
    <t>Feminino</t>
  </si>
  <si>
    <t>Situação IMC</t>
  </si>
  <si>
    <t>Maria</t>
  </si>
  <si>
    <t>Leidinha</t>
  </si>
  <si>
    <t>Emanuele</t>
  </si>
  <si>
    <t>Israel</t>
  </si>
  <si>
    <t>Levy</t>
  </si>
  <si>
    <t>Marcus</t>
  </si>
  <si>
    <t>Rene</t>
  </si>
  <si>
    <t>Icaro</t>
  </si>
  <si>
    <t>Fabiana</t>
  </si>
  <si>
    <t>Celynny</t>
  </si>
  <si>
    <t>Pedro</t>
  </si>
  <si>
    <t>Felipe</t>
  </si>
  <si>
    <t>Criança</t>
  </si>
  <si>
    <t>Jovem</t>
  </si>
  <si>
    <t>Adulto</t>
  </si>
  <si>
    <t>Experiente</t>
  </si>
  <si>
    <t>Qtd</t>
  </si>
  <si>
    <t>Abaixo do Peso</t>
  </si>
  <si>
    <t>Normal</t>
  </si>
  <si>
    <t>Sobrepeso</t>
  </si>
  <si>
    <t>Obesidade Grau 1</t>
  </si>
  <si>
    <t>Obesidade Grau 2</t>
  </si>
  <si>
    <t>Obesidade Grau 3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</si>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</sst>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/>
    </xf>
    <xf numFmtId="2" fontId="0" fillId="0" borderId="1" xfId="0" applyNumberFormat="1" applyBorder="1"/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Gênero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Plan1!$C$17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Plan1!$B$18:$B$19</c:f>
              <c:strCache>
                <c:ptCount val="2"/>
                <c:pt idx="0">
                  <c:v>Masculino</c:v>
                </c:pt>
                <c:pt idx="1">
                  <c:v>Feminino</c:v>
                </c:pt>
              </c:strCache>
            </c:strRef>
          </c:cat>
          <c:val>
            <c:numRef>
              <c:f>Plan1!$C$18:$C$19</c:f>
              <c:numCache>
                <c:formatCode>General</c:formatCode>
                <c:ptCount val="2"/>
                <c:pt idx="0">
                  <c:v>7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A-4F9D-9EE1-B872CD3BB9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54530575"/>
        <c:axId val="254534735"/>
        <c:axId val="0"/>
      </c:bar3DChart>
      <c:catAx>
        <c:axId val="25453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4534735"/>
        <c:crosses val="autoZero"/>
        <c:auto val="1"/>
        <c:lblAlgn val="ctr"/>
        <c:lblOffset val="100"/>
        <c:noMultiLvlLbl val="0"/>
      </c:catAx>
      <c:valAx>
        <c:axId val="25453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453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Situação</a:t>
            </a:r>
            <a:r>
              <a:rPr lang="en-US" baseline="0"/>
              <a:t> IMC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Plan1!$C$29</c:f>
              <c:strCache>
                <c:ptCount val="1"/>
                <c:pt idx="0">
                  <c:v>Qtd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Plan1!$B$30:$B$35</c:f>
              <c:strCache>
                <c:ptCount val="6"/>
                <c:pt idx="0">
                  <c:v>Abaixo do Peso</c:v>
                </c:pt>
                <c:pt idx="1">
                  <c:v>Normal</c:v>
                </c:pt>
                <c:pt idx="2">
                  <c:v>Sobrepeso</c:v>
                </c:pt>
                <c:pt idx="3">
                  <c:v>Obesidade Grau 1</c:v>
                </c:pt>
                <c:pt idx="4">
                  <c:v>Obesidade Grau 2</c:v>
                </c:pt>
                <c:pt idx="5">
                  <c:v>Obesidade Grau 3</c:v>
                </c:pt>
              </c:strCache>
            </c:strRef>
          </c:cat>
          <c:val>
            <c:numRef>
              <c:f>Plan1!$C$30:$C$35</c:f>
              <c:numCache>
                <c:formatCode>General</c:formatCode>
                <c:ptCount val="6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F-415E-9E65-B2785B4B2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337495551"/>
        <c:axId val="337493471"/>
      </c:areaChart>
      <c:catAx>
        <c:axId val="33749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7493471"/>
        <c:crosses val="autoZero"/>
        <c:auto val="1"/>
        <c:lblAlgn val="ctr"/>
        <c:lblOffset val="100"/>
        <c:noMultiLvlLbl val="0"/>
      </c:catAx>
      <c:valAx>
        <c:axId val="3374934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7495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</a:t>
            </a:r>
            <a:r>
              <a:rPr lang="en-US" baseline="0"/>
              <a:t> Etária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Plan1!$C$22</c:f>
              <c:strCache>
                <c:ptCount val="1"/>
                <c:pt idx="0">
                  <c:v>Qtd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Plan1!$B$23:$B$26</c:f>
              <c:strCache>
                <c:ptCount val="4"/>
                <c:pt idx="0">
                  <c:v>Criança</c:v>
                </c:pt>
                <c:pt idx="1">
                  <c:v>Jovem</c:v>
                </c:pt>
                <c:pt idx="2">
                  <c:v>Adulto</c:v>
                </c:pt>
                <c:pt idx="3">
                  <c:v>Experiente</c:v>
                </c:pt>
              </c:strCache>
            </c:strRef>
          </c:cat>
          <c:val>
            <c:numRef>
              <c:f>Plan1!$C$23:$C$26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8-4195-893E-C68195A7DB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338334831"/>
        <c:axId val="338331919"/>
      </c:barChart>
      <c:catAx>
        <c:axId val="33833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8331919"/>
        <c:crosses val="autoZero"/>
        <c:auto val="1"/>
        <c:lblAlgn val="ctr"/>
        <c:lblOffset val="100"/>
        <c:noMultiLvlLbl val="0"/>
      </c:catAx>
      <c:valAx>
        <c:axId val="33833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833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0</xdr:row>
      <xdr:rowOff>171450</xdr:rowOff>
    </xdr:from>
    <xdr:to>
      <xdr:col>17</xdr:col>
      <xdr:colOff>295275</xdr:colOff>
      <xdr:row>14</xdr:row>
      <xdr:rowOff>9525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14</xdr:row>
      <xdr:rowOff>114300</xdr:rowOff>
    </xdr:from>
    <xdr:to>
      <xdr:col>17</xdr:col>
      <xdr:colOff>304800</xdr:colOff>
      <xdr:row>29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304800</xdr:colOff>
      <xdr:row>14</xdr:row>
      <xdr:rowOff>133350</xdr:rowOff>
    </xdr:from>
    <xdr:to>
      <xdr:col>9</xdr:col>
      <xdr:colOff>390525</xdr:colOff>
      <xdr:row>29</xdr:row>
      <xdr:rowOff>19050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35"/>
  <sheetViews>
    <sheetView tabSelected="1" workbookViewId="0">
      <selection activeCell="K34" sqref="K34"/>
    </sheetView>
  </sheetViews>
  <sheetFormatPr defaultRowHeight="15" x14ac:dyDescent="0.25"/>
  <cols>
    <col min="1" max="1" width="3.42578125" customWidth="1"/>
    <col min="2" max="2" width="16.7109375" customWidth="1"/>
    <col min="4" max="4" width="10.7109375" customWidth="1"/>
    <col min="8" max="8" width="11.28515625" customWidth="1"/>
    <col min="9" max="9" width="17.85546875" customWidth="1"/>
  </cols>
  <sheetData>
    <row r="2" spans="1:21" x14ac:dyDescent="0.25">
      <c r="A2" s="9"/>
      <c r="B2" s="10" t="s">
        <v>0</v>
      </c>
      <c r="C2" s="11" t="s">
        <v>1</v>
      </c>
      <c r="D2" s="11" t="s">
        <v>2</v>
      </c>
      <c r="E2" s="11" t="s">
        <v>4</v>
      </c>
      <c r="F2" s="11" t="s">
        <v>5</v>
      </c>
      <c r="G2" s="11" t="s">
        <v>3</v>
      </c>
      <c r="H2" s="11" t="s">
        <v>6</v>
      </c>
      <c r="I2" s="11" t="s">
        <v>9</v>
      </c>
    </row>
    <row r="3" spans="1:21" x14ac:dyDescent="0.25">
      <c r="A3" s="1">
        <v>1</v>
      </c>
      <c r="B3" s="3" t="s">
        <v>21</v>
      </c>
      <c r="C3" s="4">
        <v>21</v>
      </c>
      <c r="D3" s="5" t="s">
        <v>7</v>
      </c>
      <c r="E3" s="4">
        <v>54</v>
      </c>
      <c r="F3" s="6">
        <v>1.68</v>
      </c>
      <c r="G3" s="2" t="str">
        <f>IF(C3&lt;12,"Criança",IF(C3&lt;30,"Jovem",IF(C3&lt;60,"Adulto","Experiente")))</f>
        <v>Jovem</v>
      </c>
      <c r="H3" s="6">
        <f>E3/F3^2</f>
        <v>19.132653061224492</v>
      </c>
      <c r="I3" s="1" t="str">
        <f>IF(H3&lt;18.5,"Abaixo do peso",IF(H3&lt;25,"Normal",IF(H3&lt;30,"Sobrepeso",IF(H3&lt;35,"Obesidade Grau 1",IF(H3&lt;40,"Obesidade Grau 2",IF(H3&gt;=40,"Obesidade Grau 3"))))))</f>
        <v>Normal</v>
      </c>
    </row>
    <row r="4" spans="1:21" x14ac:dyDescent="0.25">
      <c r="A4" s="1">
        <v>2</v>
      </c>
      <c r="B4" s="3" t="s">
        <v>10</v>
      </c>
      <c r="C4" s="7">
        <v>37</v>
      </c>
      <c r="D4" s="5" t="s">
        <v>8</v>
      </c>
      <c r="E4" s="3">
        <v>63</v>
      </c>
      <c r="F4" s="3">
        <v>1.64</v>
      </c>
      <c r="G4" s="2" t="str">
        <f t="shared" ref="G4:G14" si="0">IF(C4&lt;12,"Criança",IF(C4&lt;30,"Jovem",IF(C4&lt;60,"Adulto","Experiente")))</f>
        <v>Adulto</v>
      </c>
      <c r="H4" s="6">
        <f t="shared" ref="H4:H14" si="1">E4/F4^2</f>
        <v>23.423557406305775</v>
      </c>
      <c r="I4" s="1" t="str">
        <f t="shared" ref="I4:I14" si="2">IF(H4&lt;18.5,"Abaixo do peso",IF(H4&lt;25,"Normal",IF(H4&lt;30,"Sobrepeso",IF(H4&lt;35,"Obesidade Grau 1",IF(H4&lt;40,"Obesidade Grau 2",IF(H4&gt;=40,"Obesidade Grau 3"))))))</f>
        <v>Normal</v>
      </c>
    </row>
    <row r="5" spans="1:21" x14ac:dyDescent="0.25">
      <c r="A5" s="1">
        <v>3</v>
      </c>
      <c r="B5" s="3" t="s">
        <v>11</v>
      </c>
      <c r="C5" s="3">
        <v>56</v>
      </c>
      <c r="D5" s="5" t="s">
        <v>8</v>
      </c>
      <c r="E5" s="3">
        <v>70</v>
      </c>
      <c r="F5" s="3">
        <v>1.62</v>
      </c>
      <c r="G5" s="2" t="str">
        <f t="shared" si="0"/>
        <v>Adulto</v>
      </c>
      <c r="H5" s="6">
        <f t="shared" si="1"/>
        <v>26.672763298277697</v>
      </c>
      <c r="I5" s="1" t="str">
        <f t="shared" si="2"/>
        <v>Sobrepeso</v>
      </c>
    </row>
    <row r="6" spans="1:21" x14ac:dyDescent="0.25">
      <c r="A6" s="1">
        <v>4</v>
      </c>
      <c r="B6" s="3" t="s">
        <v>12</v>
      </c>
      <c r="C6" s="3">
        <v>36</v>
      </c>
      <c r="D6" s="5" t="s">
        <v>8</v>
      </c>
      <c r="E6" s="3">
        <v>64</v>
      </c>
      <c r="F6" s="3">
        <v>1.63</v>
      </c>
      <c r="G6" s="2" t="str">
        <f t="shared" si="0"/>
        <v>Adulto</v>
      </c>
      <c r="H6" s="6">
        <f t="shared" si="1"/>
        <v>24.088223117166624</v>
      </c>
      <c r="I6" s="1" t="str">
        <f t="shared" si="2"/>
        <v>Normal</v>
      </c>
    </row>
    <row r="7" spans="1:21" x14ac:dyDescent="0.25">
      <c r="A7" s="1">
        <v>5</v>
      </c>
      <c r="B7" s="3" t="s">
        <v>13</v>
      </c>
      <c r="C7" s="3">
        <v>18</v>
      </c>
      <c r="D7" s="5" t="s">
        <v>7</v>
      </c>
      <c r="E7" s="3">
        <v>62</v>
      </c>
      <c r="F7" s="3">
        <v>1.69</v>
      </c>
      <c r="G7" s="2" t="str">
        <f t="shared" si="0"/>
        <v>Jovem</v>
      </c>
      <c r="H7" s="6">
        <f t="shared" si="1"/>
        <v>21.707923392038097</v>
      </c>
      <c r="I7" s="1" t="str">
        <f t="shared" si="2"/>
        <v>Normal</v>
      </c>
    </row>
    <row r="8" spans="1:21" x14ac:dyDescent="0.25">
      <c r="A8" s="1">
        <v>6</v>
      </c>
      <c r="B8" s="3" t="s">
        <v>14</v>
      </c>
      <c r="C8" s="3">
        <v>23</v>
      </c>
      <c r="D8" s="5" t="s">
        <v>7</v>
      </c>
      <c r="E8" s="3">
        <v>54</v>
      </c>
      <c r="F8" s="3">
        <v>1.75</v>
      </c>
      <c r="G8" s="2" t="str">
        <f t="shared" si="0"/>
        <v>Jovem</v>
      </c>
      <c r="H8" s="6">
        <f t="shared" si="1"/>
        <v>17.632653061224488</v>
      </c>
      <c r="I8" s="1" t="str">
        <f t="shared" si="2"/>
        <v>Abaixo do peso</v>
      </c>
    </row>
    <row r="9" spans="1:21" x14ac:dyDescent="0.25">
      <c r="A9" s="1">
        <v>7</v>
      </c>
      <c r="B9" s="3" t="s">
        <v>15</v>
      </c>
      <c r="C9" s="3">
        <v>19</v>
      </c>
      <c r="D9" s="5" t="s">
        <v>7</v>
      </c>
      <c r="E9" s="3">
        <v>72</v>
      </c>
      <c r="F9" s="8">
        <v>1.7</v>
      </c>
      <c r="G9" s="2" t="str">
        <f t="shared" si="0"/>
        <v>Jovem</v>
      </c>
      <c r="H9" s="6">
        <f t="shared" si="1"/>
        <v>24.913494809688583</v>
      </c>
      <c r="I9" s="1" t="str">
        <f t="shared" si="2"/>
        <v>Normal</v>
      </c>
    </row>
    <row r="10" spans="1:21" x14ac:dyDescent="0.25">
      <c r="A10" s="1">
        <v>8</v>
      </c>
      <c r="B10" s="3" t="s">
        <v>16</v>
      </c>
      <c r="C10" s="3">
        <v>27</v>
      </c>
      <c r="D10" s="5" t="s">
        <v>7</v>
      </c>
      <c r="E10" s="3">
        <v>127</v>
      </c>
      <c r="F10" s="3">
        <v>1.82</v>
      </c>
      <c r="G10" s="2" t="str">
        <f t="shared" si="0"/>
        <v>Jovem</v>
      </c>
      <c r="H10" s="6">
        <f t="shared" si="1"/>
        <v>38.340780099021856</v>
      </c>
      <c r="I10" s="1" t="str">
        <f t="shared" si="2"/>
        <v>Obesidade Grau 2</v>
      </c>
    </row>
    <row r="11" spans="1:21" x14ac:dyDescent="0.25">
      <c r="A11" s="1">
        <v>9</v>
      </c>
      <c r="B11" s="3" t="s">
        <v>17</v>
      </c>
      <c r="C11" s="3">
        <v>17</v>
      </c>
      <c r="D11" s="5" t="s">
        <v>7</v>
      </c>
      <c r="E11" s="3">
        <v>93</v>
      </c>
      <c r="F11" s="3">
        <v>1.75</v>
      </c>
      <c r="G11" s="2" t="str">
        <f t="shared" si="0"/>
        <v>Jovem</v>
      </c>
      <c r="H11" s="6">
        <f t="shared" si="1"/>
        <v>30.367346938775512</v>
      </c>
      <c r="I11" s="1" t="str">
        <f t="shared" si="2"/>
        <v>Obesidade Grau 1</v>
      </c>
    </row>
    <row r="12" spans="1:21" x14ac:dyDescent="0.25">
      <c r="A12" s="1">
        <v>10</v>
      </c>
      <c r="B12" s="3" t="s">
        <v>18</v>
      </c>
      <c r="C12" s="3">
        <v>39</v>
      </c>
      <c r="D12" s="5" t="s">
        <v>8</v>
      </c>
      <c r="E12" s="3">
        <v>65</v>
      </c>
      <c r="F12" s="3">
        <v>1.58</v>
      </c>
      <c r="G12" s="2" t="str">
        <f t="shared" si="0"/>
        <v>Adulto</v>
      </c>
      <c r="H12" s="6">
        <f t="shared" si="1"/>
        <v>26.037493991347535</v>
      </c>
      <c r="I12" s="1" t="str">
        <f t="shared" si="2"/>
        <v>Sobrepeso</v>
      </c>
    </row>
    <row r="13" spans="1:21" x14ac:dyDescent="0.25">
      <c r="A13" s="1">
        <v>11</v>
      </c>
      <c r="B13" s="3" t="s">
        <v>19</v>
      </c>
      <c r="C13" s="3">
        <v>26</v>
      </c>
      <c r="D13" s="5" t="s">
        <v>8</v>
      </c>
      <c r="E13" s="3">
        <v>78</v>
      </c>
      <c r="F13" s="3">
        <v>1.54</v>
      </c>
      <c r="G13" s="2" t="str">
        <f t="shared" si="0"/>
        <v>Jovem</v>
      </c>
      <c r="H13" s="6">
        <f t="shared" si="1"/>
        <v>32.889188733344575</v>
      </c>
      <c r="I13" s="1" t="str">
        <f t="shared" si="2"/>
        <v>Obesidade Grau 1</v>
      </c>
      <c r="U13" t="s">
        <v>33</v>
      </c>
    </row>
    <row r="14" spans="1:21" x14ac:dyDescent="0.25">
      <c r="A14" s="1">
        <v>12</v>
      </c>
      <c r="B14" s="3" t="s">
        <v>20</v>
      </c>
      <c r="C14" s="3">
        <v>19</v>
      </c>
      <c r="D14" s="5" t="s">
        <v>7</v>
      </c>
      <c r="E14" s="3">
        <v>64</v>
      </c>
      <c r="F14" s="3">
        <v>1.72</v>
      </c>
      <c r="G14" s="2" t="str">
        <f t="shared" si="0"/>
        <v>Jovem</v>
      </c>
      <c r="H14" s="6">
        <f t="shared" si="1"/>
        <v>21.63331530557058</v>
      </c>
      <c r="I14" s="1" t="str">
        <f t="shared" si="2"/>
        <v>Normal</v>
      </c>
    </row>
    <row r="17" spans="2:3" x14ac:dyDescent="0.25">
      <c r="B17" s="12" t="s">
        <v>2</v>
      </c>
      <c r="C17" s="12" t="s">
        <v>26</v>
      </c>
    </row>
    <row r="18" spans="2:3" x14ac:dyDescent="0.25">
      <c r="B18" s="3" t="s">
        <v>7</v>
      </c>
      <c r="C18" s="3">
        <f>COUNTIF(D3:D14,B18)</f>
        <v>7</v>
      </c>
    </row>
    <row r="19" spans="2:3" x14ac:dyDescent="0.25">
      <c r="B19" s="3" t="s">
        <v>8</v>
      </c>
      <c r="C19" s="3">
        <f>COUNTIF(D3:D13,B19)</f>
        <v>5</v>
      </c>
    </row>
    <row r="22" spans="2:3" x14ac:dyDescent="0.25">
      <c r="B22" s="12" t="s">
        <v>3</v>
      </c>
      <c r="C22" s="12" t="s">
        <v>26</v>
      </c>
    </row>
    <row r="23" spans="2:3" x14ac:dyDescent="0.25">
      <c r="B23" s="3" t="s">
        <v>22</v>
      </c>
      <c r="C23" s="3">
        <f>COUNTIF($G$3:$G$14,B23)</f>
        <v>0</v>
      </c>
    </row>
    <row r="24" spans="2:3" x14ac:dyDescent="0.25">
      <c r="B24" s="3" t="s">
        <v>23</v>
      </c>
      <c r="C24" s="3">
        <f t="shared" ref="C24:C26" si="3">COUNTIF($G$3:$G$14,B24)</f>
        <v>8</v>
      </c>
    </row>
    <row r="25" spans="2:3" x14ac:dyDescent="0.25">
      <c r="B25" s="3" t="s">
        <v>24</v>
      </c>
      <c r="C25" s="3">
        <f t="shared" si="3"/>
        <v>4</v>
      </c>
    </row>
    <row r="26" spans="2:3" x14ac:dyDescent="0.25">
      <c r="B26" s="3" t="s">
        <v>25</v>
      </c>
      <c r="C26" s="3">
        <f t="shared" si="3"/>
        <v>0</v>
      </c>
    </row>
    <row r="29" spans="2:3" x14ac:dyDescent="0.25">
      <c r="B29" s="12" t="s">
        <v>9</v>
      </c>
      <c r="C29" s="12" t="s">
        <v>26</v>
      </c>
    </row>
    <row r="30" spans="2:3" x14ac:dyDescent="0.25">
      <c r="B30" s="3" t="s">
        <v>27</v>
      </c>
      <c r="C30" s="3">
        <f>COUNTIF($I$3:$I$14,B30)</f>
        <v>1</v>
      </c>
    </row>
    <row r="31" spans="2:3" x14ac:dyDescent="0.25">
      <c r="B31" s="3" t="s">
        <v>28</v>
      </c>
      <c r="C31" s="3">
        <f t="shared" ref="C31:C35" si="4">COUNTIF($I$3:$I$14,B31)</f>
        <v>6</v>
      </c>
    </row>
    <row r="32" spans="2:3" x14ac:dyDescent="0.25">
      <c r="B32" s="3" t="s">
        <v>29</v>
      </c>
      <c r="C32" s="3">
        <f t="shared" si="4"/>
        <v>2</v>
      </c>
    </row>
    <row r="33" spans="2:11" x14ac:dyDescent="0.25">
      <c r="B33" s="3" t="s">
        <v>30</v>
      </c>
      <c r="C33" s="3">
        <f t="shared" si="4"/>
        <v>2</v>
      </c>
    </row>
    <row r="34" spans="2:11" x14ac:dyDescent="0.25">
      <c r="B34" s="3" t="s">
        <v>31</v>
      </c>
      <c r="C34" s="3">
        <f t="shared" si="4"/>
        <v>1</v>
      </c>
      <c r="K34" s="13"/>
    </row>
    <row r="35" spans="2:11" x14ac:dyDescent="0.25">
      <c r="B35" s="3" t="s">
        <v>32</v>
      </c>
      <c r="C35" s="3">
        <f t="shared" si="4"/>
        <v>0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>
          <x14:formula1>
            <xm:f>Validação!$A$2:$A$4</xm:f>
          </x14:formula1>
          <xm:sqref>D3:D14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A4"/>
    </sheetView>
  </sheetViews>
  <sheetFormatPr defaultRowHeight="15" x14ac:dyDescent="0.25"/>
  <sheetData>
    <row r="1" spans="1:1" x14ac:dyDescent="0.25">
      <c r="A1" t="s">
        <v>2</v>
      </c>
    </row>
    <row r="3" spans="1:1" x14ac:dyDescent="0.25">
      <c r="A3" t="s">
        <v>7</v>
      </c>
    </row>
    <row r="4" spans="1:1" x14ac:dyDescent="0.25">
      <c r="A4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Validação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2026-02-07T19:22:11Z</dcterms:modified>
</cp:coreProperties>
</file>