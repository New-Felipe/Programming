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uno\Documents\Felipe Maciel\"/>
    </mc:Choice>
  </mc:AlternateContent>
  <bookViews>
    <workbookView xWindow="0" yWindow="0" windowWidth="28800" windowHeight="123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1" l="1"/>
  <c r="B79" i="1"/>
  <c r="B78" i="1"/>
  <c r="B77" i="1"/>
  <c r="B76" i="1"/>
  <c r="B75" i="1"/>
  <c r="B70" i="1"/>
  <c r="B69" i="1"/>
  <c r="B68" i="1"/>
  <c r="B67" i="1"/>
  <c r="B66" i="1"/>
  <c r="B48" i="1"/>
  <c r="B47" i="1"/>
  <c r="D59" i="1"/>
  <c r="D58" i="1"/>
  <c r="D57" i="1"/>
  <c r="B40" i="1"/>
  <c r="B33" i="1"/>
  <c r="B28" i="1"/>
</calcChain>
</file>

<file path=xl/sharedStrings.xml><?xml version="1.0" encoding="utf-8"?>
<sst xmlns="http://schemas.openxmlformats.org/spreadsheetml/2006/main" count="56" uniqueCount="47">
  <si>
    <t>CONCEITO</t>
  </si>
  <si>
    <t>EFEITO COMPARATIVO</t>
  </si>
  <si>
    <t>10% MAIS CARO</t>
  </si>
  <si>
    <t>DESCONTO DE 20%</t>
  </si>
  <si>
    <t>AUMENTO DE 40%</t>
  </si>
  <si>
    <t>SITUAÇÃO 1</t>
  </si>
  <si>
    <t>DESCOBRIR A PORCENTAGEM</t>
  </si>
  <si>
    <t>SITUAÇÃO 2</t>
  </si>
  <si>
    <t>DESCOBRIR UM NÚMERO, COM BASE EM UMA PORCENTAGEM</t>
  </si>
  <si>
    <t>1)</t>
  </si>
  <si>
    <t xml:space="preserve">30 ALUNOS, 10 FORAM BEM. </t>
  </si>
  <si>
    <t>Qual a % de alunos que foram bem?</t>
  </si>
  <si>
    <t>10 de 30</t>
  </si>
  <si>
    <t>2)</t>
  </si>
  <si>
    <t>3)</t>
  </si>
  <si>
    <t>Aluguel custa 1200</t>
  </si>
  <si>
    <t>Ele vai para 1500</t>
  </si>
  <si>
    <t>4)</t>
  </si>
  <si>
    <t>Produto na promoção</t>
  </si>
  <si>
    <t>Qual a porcentagem de desconto?</t>
  </si>
  <si>
    <t>De R$ 160 reais por R$ 70 reais.</t>
  </si>
  <si>
    <t>Resposta</t>
  </si>
  <si>
    <t>(com 1 dentro da fórmula)</t>
  </si>
  <si>
    <t>Valor Final</t>
  </si>
  <si>
    <t>Valor Inicial</t>
  </si>
  <si>
    <t>Desconto em %</t>
  </si>
  <si>
    <t>Desconto em R$</t>
  </si>
  <si>
    <t>Aumento em %</t>
  </si>
  <si>
    <t>Aumento em R$</t>
  </si>
  <si>
    <t>Fórmula única</t>
  </si>
  <si>
    <r>
      <t xml:space="preserve">Solução: </t>
    </r>
    <r>
      <rPr>
        <b/>
        <i/>
        <sz val="10"/>
        <color rgb="FFFF0000"/>
        <rFont val="Segoe UI"/>
        <family val="2"/>
      </rPr>
      <t>Dividir um pelo outro</t>
    </r>
  </si>
  <si>
    <r>
      <t xml:space="preserve">Solução: </t>
    </r>
    <r>
      <rPr>
        <b/>
        <i/>
        <sz val="10"/>
        <color rgb="FFFF0000"/>
        <rFont val="Segoe UI"/>
        <family val="2"/>
      </rPr>
      <t>Multiplicar a porcentagem pelo número</t>
    </r>
  </si>
  <si>
    <t>Valor Final 2</t>
  </si>
  <si>
    <t>Valor Final 1</t>
  </si>
  <si>
    <t>90% dos alunos de uma sala com 150 pessoas foram aprovados. Quantos alunos foram aprovados?</t>
  </si>
  <si>
    <t>Em um time de 40 jogadores, 20% estão cansados. Quantos jogadores estão cansados?</t>
  </si>
  <si>
    <t>SITUAÇÕES</t>
  </si>
  <si>
    <r>
      <t xml:space="preserve">1) </t>
    </r>
    <r>
      <rPr>
        <b/>
        <sz val="10"/>
        <color theme="1"/>
        <rFont val="Segoe UI"/>
        <family val="2"/>
      </rPr>
      <t xml:space="preserve">DESCOBRIR A PORCENTAGEM </t>
    </r>
    <r>
      <rPr>
        <sz val="10"/>
        <color theme="1"/>
        <rFont val="Segoe UI"/>
        <family val="2"/>
      </rPr>
      <t xml:space="preserve">= </t>
    </r>
    <r>
      <rPr>
        <b/>
        <sz val="10"/>
        <color theme="4" tint="-0.249977111117893"/>
        <rFont val="Segoe UI"/>
        <family val="2"/>
      </rPr>
      <t>DIVIDIR</t>
    </r>
  </si>
  <si>
    <t>Desconto de:</t>
  </si>
  <si>
    <t>Quanto estou pagando do produto?</t>
  </si>
  <si>
    <t>Produto custa R$120,00 e quero dar 20% de desconto. Por quanto tenho que vender este produto?</t>
  </si>
  <si>
    <t>% que vou receber com o desconto</t>
  </si>
  <si>
    <t>Produto custa R$ 120,00 e quero aumentar 20%. Qual será o valor de venda?</t>
  </si>
  <si>
    <t>300 reais no mercado e ganho 1800 no mês. Quantos % gastei do meu salário?</t>
  </si>
  <si>
    <r>
      <t xml:space="preserve">2) </t>
    </r>
    <r>
      <rPr>
        <b/>
        <sz val="10"/>
        <color theme="1"/>
        <rFont val="Segoe UI"/>
        <family val="2"/>
      </rPr>
      <t>DESCOBRIR UM NÚMERO COM BASE NA PORCENTAGEM</t>
    </r>
    <r>
      <rPr>
        <sz val="10"/>
        <color theme="1"/>
        <rFont val="Segoe UI"/>
        <family val="2"/>
      </rPr>
      <t xml:space="preserve"> = </t>
    </r>
    <r>
      <rPr>
        <b/>
        <sz val="10"/>
        <color theme="4" tint="-0.249977111117893"/>
        <rFont val="Segoe UI"/>
        <family val="2"/>
      </rPr>
      <t>MULTIPLICAR</t>
    </r>
  </si>
  <si>
    <t>Qual a porcentagem que aumento o aluguel?</t>
  </si>
  <si>
    <t>Numa fabrica de garrafas, das 80 garrafas produzidas, 20% foram produzidas erradas. Quantas garrafas foram produzidas erradas?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</si>
</sst>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8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i/>
      <sz val="10"/>
      <color theme="1"/>
      <name val="Segoe UI"/>
      <family val="2"/>
    </font>
    <font>
      <b/>
      <i/>
      <sz val="8"/>
      <color theme="1"/>
      <name val="Segoe UI"/>
      <family val="2"/>
    </font>
    <font>
      <b/>
      <i/>
      <sz val="10"/>
      <color rgb="FFFF0000"/>
      <name val="Segoe UI"/>
      <family val="2"/>
    </font>
    <font>
      <b/>
      <sz val="10"/>
      <color theme="4" tint="-0.249977111117893"/>
      <name val="Segoe UI"/>
      <family val="2"/>
    </font>
    <font>
      <sz val="10"/>
      <color theme="4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/>
    <xf numFmtId="0" fontId="0" fillId="0" borderId="1" xfId="0" applyBorder="1"/>
    <xf numFmtId="0" fontId="0" fillId="3" borderId="1" xfId="0" applyFill="1" applyBorder="1"/>
    <xf numFmtId="10" fontId="0" fillId="3" borderId="1" xfId="0" applyNumberFormat="1" applyFill="1" applyBorder="1"/>
    <xf numFmtId="0" fontId="2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/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wrapText="1"/>
    </xf>
    <xf numFmtId="9" fontId="0" fillId="3" borderId="1" xfId="0" applyNumberFormat="1" applyFill="1" applyBorder="1"/>
    <xf numFmtId="0" fontId="0" fillId="0" borderId="1" xfId="0" applyBorder="1" applyAlignment="1">
      <alignment horizontal="right"/>
    </xf>
    <xf numFmtId="44" fontId="0" fillId="3" borderId="1" xfId="1" applyFont="1" applyFill="1" applyBorder="1"/>
    <xf numFmtId="9" fontId="0" fillId="3" borderId="1" xfId="2" applyFont="1" applyFill="1" applyBorder="1"/>
    <xf numFmtId="9" fontId="2" fillId="0" borderId="0" xfId="2" applyFont="1"/>
    <xf numFmtId="10" fontId="0" fillId="3" borderId="1" xfId="2" applyNumberFormat="1" applyFont="1" applyFill="1" applyBorder="1"/>
    <xf numFmtId="44" fontId="7" fillId="3" borderId="1" xfId="1" applyFont="1" applyFill="1" applyBorder="1"/>
    <xf numFmtId="9" fontId="7" fillId="3" borderId="1" xfId="0" applyNumberFormat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3</xdr:row>
      <xdr:rowOff>123825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953250" cy="666750"/>
        </a:xfrm>
        <a:prstGeom prst="rect">
          <a:avLst/>
        </a:prstGeom>
        <a:solidFill>
          <a:srgbClr val="20844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/>
            <a:t>PORCENTAGENS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79"/>
  <sheetViews>
    <sheetView showGridLines="0" tabSelected="1" workbookViewId="0">
      <pane ySplit="4" topLeftCell="A5" activePane="bottomLeft" state="frozen"/>
      <selection pane="bottomLeft" activeCell="F49" sqref="F49"/>
    </sheetView>
  </sheetViews>
  <sheetFormatPr defaultRowHeight="14.25" x14ac:dyDescent="0.25"/>
  <cols>
    <col min="1" max="1" width="34.28515625" customWidth="1"/>
    <col min="2" max="2" width="9.5703125" bestFit="1" customWidth="1"/>
  </cols>
  <sheetData>
    <row r="6" spans="1:1" x14ac:dyDescent="0.25">
      <c r="A6" s="1" t="s">
        <v>0</v>
      </c>
    </row>
    <row r="8" spans="1:1" x14ac:dyDescent="0.25">
      <c r="A8" t="s">
        <v>1</v>
      </c>
    </row>
    <row r="9" spans="1:1" x14ac:dyDescent="0.25">
      <c r="A9" t="s">
        <v>2</v>
      </c>
    </row>
    <row r="10" spans="1:1" x14ac:dyDescent="0.25">
      <c r="A10" t="s">
        <v>3</v>
      </c>
    </row>
    <row r="11" spans="1:1" x14ac:dyDescent="0.25">
      <c r="A11" t="s">
        <v>4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44</v>
      </c>
    </row>
    <row r="19" spans="1:2" s="4" customFormat="1" x14ac:dyDescent="0.25">
      <c r="A19" s="3" t="s">
        <v>5</v>
      </c>
    </row>
    <row r="20" spans="1:2" x14ac:dyDescent="0.25">
      <c r="A20" s="7" t="s">
        <v>6</v>
      </c>
    </row>
    <row r="21" spans="1:2" x14ac:dyDescent="0.25">
      <c r="A21" s="2" t="s">
        <v>30</v>
      </c>
    </row>
    <row r="23" spans="1:2" x14ac:dyDescent="0.25">
      <c r="A23" s="5" t="s">
        <v>9</v>
      </c>
      <c r="B23" t="s">
        <v>10</v>
      </c>
    </row>
    <row r="24" spans="1:2" x14ac:dyDescent="0.25">
      <c r="B24" t="s">
        <v>11</v>
      </c>
    </row>
    <row r="25" spans="1:2" x14ac:dyDescent="0.25">
      <c r="B25" t="s">
        <v>12</v>
      </c>
    </row>
    <row r="26" spans="1:2" x14ac:dyDescent="0.25">
      <c r="B26" s="8">
        <v>10</v>
      </c>
    </row>
    <row r="27" spans="1:2" x14ac:dyDescent="0.25">
      <c r="B27" s="8">
        <v>30</v>
      </c>
    </row>
    <row r="28" spans="1:2" x14ac:dyDescent="0.25">
      <c r="A28" s="5" t="s">
        <v>21</v>
      </c>
      <c r="B28" s="23">
        <f>10/30</f>
        <v>0.33333333333333331</v>
      </c>
    </row>
    <row r="30" spans="1:2" x14ac:dyDescent="0.25">
      <c r="A30" s="5" t="s">
        <v>13</v>
      </c>
      <c r="B30" t="s">
        <v>43</v>
      </c>
    </row>
    <row r="31" spans="1:2" x14ac:dyDescent="0.25">
      <c r="B31" s="8">
        <v>300</v>
      </c>
    </row>
    <row r="32" spans="1:2" x14ac:dyDescent="0.25">
      <c r="B32" s="8">
        <v>1800</v>
      </c>
    </row>
    <row r="33" spans="1:2" x14ac:dyDescent="0.25">
      <c r="A33" s="5" t="s">
        <v>21</v>
      </c>
      <c r="B33" s="23">
        <f>300/1800</f>
        <v>0.16666666666666666</v>
      </c>
    </row>
    <row r="35" spans="1:2" x14ac:dyDescent="0.25">
      <c r="A35" s="5" t="s">
        <v>14</v>
      </c>
      <c r="B35" t="s">
        <v>15</v>
      </c>
    </row>
    <row r="36" spans="1:2" x14ac:dyDescent="0.25">
      <c r="B36" t="s">
        <v>16</v>
      </c>
    </row>
    <row r="37" spans="1:2" x14ac:dyDescent="0.25">
      <c r="B37" t="s">
        <v>45</v>
      </c>
    </row>
    <row r="38" spans="1:2" x14ac:dyDescent="0.25">
      <c r="B38" s="8">
        <v>1500</v>
      </c>
    </row>
    <row r="39" spans="1:2" x14ac:dyDescent="0.25">
      <c r="B39" s="8">
        <v>1200</v>
      </c>
    </row>
    <row r="40" spans="1:2" x14ac:dyDescent="0.25">
      <c r="A40" s="5" t="s">
        <v>21</v>
      </c>
      <c r="B40" s="23">
        <f>(B38-B39)/B39</f>
        <v>0.25</v>
      </c>
    </row>
    <row r="42" spans="1:2" x14ac:dyDescent="0.25">
      <c r="A42" s="5" t="s">
        <v>17</v>
      </c>
      <c r="B42" t="s">
        <v>18</v>
      </c>
    </row>
    <row r="43" spans="1:2" x14ac:dyDescent="0.25">
      <c r="B43" t="s">
        <v>20</v>
      </c>
    </row>
    <row r="44" spans="1:2" x14ac:dyDescent="0.25">
      <c r="B44" t="s">
        <v>19</v>
      </c>
    </row>
    <row r="45" spans="1:2" x14ac:dyDescent="0.25">
      <c r="B45" s="8">
        <v>70</v>
      </c>
    </row>
    <row r="46" spans="1:2" x14ac:dyDescent="0.25">
      <c r="B46" s="8">
        <v>160</v>
      </c>
    </row>
    <row r="47" spans="1:2" x14ac:dyDescent="0.25">
      <c r="A47" s="24" t="s">
        <v>39</v>
      </c>
      <c r="B47" s="25">
        <f>70/160</f>
        <v>0.4375</v>
      </c>
    </row>
    <row r="48" spans="1:2" x14ac:dyDescent="0.25">
      <c r="A48" s="5" t="s">
        <v>38</v>
      </c>
      <c r="B48" s="10">
        <f>(B46-B45)/B46</f>
        <v>0.5625</v>
      </c>
    </row>
    <row r="49" spans="1:4" x14ac:dyDescent="0.25">
      <c r="A49" s="5" t="s">
        <v>29</v>
      </c>
      <c r="B49" s="23">
        <f>1-70/160</f>
        <v>0.5625</v>
      </c>
    </row>
    <row r="50" spans="1:4" x14ac:dyDescent="0.25">
      <c r="A50" s="6" t="s">
        <v>22</v>
      </c>
    </row>
    <row r="52" spans="1:4" s="4" customFormat="1" x14ac:dyDescent="0.25">
      <c r="A52" s="3" t="s">
        <v>7</v>
      </c>
    </row>
    <row r="53" spans="1:4" x14ac:dyDescent="0.25">
      <c r="A53" s="7" t="s">
        <v>8</v>
      </c>
    </row>
    <row r="54" spans="1:4" x14ac:dyDescent="0.25">
      <c r="A54" s="2" t="s">
        <v>31</v>
      </c>
    </row>
    <row r="55" spans="1:4" x14ac:dyDescent="0.25">
      <c r="A55" s="2"/>
    </row>
    <row r="56" spans="1:4" x14ac:dyDescent="0.25">
      <c r="A56" s="11" t="s">
        <v>9</v>
      </c>
    </row>
    <row r="57" spans="1:4" ht="42.75" x14ac:dyDescent="0.25">
      <c r="A57" s="12" t="s">
        <v>35</v>
      </c>
      <c r="B57" s="13">
        <v>40</v>
      </c>
      <c r="C57" s="15">
        <v>0.2</v>
      </c>
      <c r="D57" s="17">
        <f>C57*B57</f>
        <v>8</v>
      </c>
    </row>
    <row r="58" spans="1:4" ht="57" x14ac:dyDescent="0.25">
      <c r="A58" s="12" t="s">
        <v>46</v>
      </c>
      <c r="B58" s="13">
        <v>80</v>
      </c>
      <c r="C58" s="15">
        <v>0.2</v>
      </c>
      <c r="D58" s="17">
        <f>C58*B58</f>
        <v>16</v>
      </c>
    </row>
    <row r="59" spans="1:4" ht="42.75" x14ac:dyDescent="0.25">
      <c r="A59" s="12" t="s">
        <v>34</v>
      </c>
      <c r="B59" s="18">
        <v>0.9</v>
      </c>
      <c r="C59" s="16">
        <v>150</v>
      </c>
      <c r="D59" s="17">
        <f>C59*B59</f>
        <v>135</v>
      </c>
    </row>
    <row r="60" spans="1:4" x14ac:dyDescent="0.25">
      <c r="A60" s="2"/>
    </row>
    <row r="61" spans="1:4" x14ac:dyDescent="0.25">
      <c r="A61" s="2"/>
    </row>
    <row r="62" spans="1:4" x14ac:dyDescent="0.25">
      <c r="A62" s="19" t="s">
        <v>13</v>
      </c>
    </row>
    <row r="63" spans="1:4" x14ac:dyDescent="0.25">
      <c r="A63" t="s">
        <v>40</v>
      </c>
    </row>
    <row r="64" spans="1:4" x14ac:dyDescent="0.25">
      <c r="A64" s="21" t="s">
        <v>24</v>
      </c>
      <c r="B64" s="8">
        <v>120</v>
      </c>
    </row>
    <row r="65" spans="1:2" x14ac:dyDescent="0.25">
      <c r="A65" s="21" t="s">
        <v>25</v>
      </c>
      <c r="B65" s="14">
        <v>0.2</v>
      </c>
    </row>
    <row r="66" spans="1:2" x14ac:dyDescent="0.25">
      <c r="A66" s="21" t="s">
        <v>41</v>
      </c>
      <c r="B66" s="27">
        <f>1-B65</f>
        <v>0.8</v>
      </c>
    </row>
    <row r="67" spans="1:2" x14ac:dyDescent="0.25">
      <c r="A67" s="21" t="s">
        <v>26</v>
      </c>
      <c r="B67" s="9">
        <f>B64*B65</f>
        <v>24</v>
      </c>
    </row>
    <row r="68" spans="1:2" x14ac:dyDescent="0.25">
      <c r="A68" s="21" t="s">
        <v>23</v>
      </c>
      <c r="B68" s="22">
        <f>B64-B67</f>
        <v>96</v>
      </c>
    </row>
    <row r="69" spans="1:2" x14ac:dyDescent="0.25">
      <c r="A69" s="21" t="s">
        <v>32</v>
      </c>
      <c r="B69" s="26">
        <f>B66*B64</f>
        <v>96</v>
      </c>
    </row>
    <row r="70" spans="1:2" x14ac:dyDescent="0.25">
      <c r="A70" s="21" t="s">
        <v>29</v>
      </c>
      <c r="B70" s="22">
        <f>(1-B65)*B64</f>
        <v>96</v>
      </c>
    </row>
    <row r="72" spans="1:2" x14ac:dyDescent="0.25">
      <c r="A72" t="s">
        <v>42</v>
      </c>
    </row>
    <row r="73" spans="1:2" x14ac:dyDescent="0.25">
      <c r="A73" s="21" t="s">
        <v>24</v>
      </c>
      <c r="B73" s="8">
        <v>120</v>
      </c>
    </row>
    <row r="74" spans="1:2" x14ac:dyDescent="0.25">
      <c r="A74" s="21" t="s">
        <v>27</v>
      </c>
      <c r="B74" s="14">
        <v>0.2</v>
      </c>
    </row>
    <row r="75" spans="1:2" x14ac:dyDescent="0.25">
      <c r="A75" s="21" t="s">
        <v>28</v>
      </c>
      <c r="B75" s="9">
        <f>B73*B74</f>
        <v>24</v>
      </c>
    </row>
    <row r="76" spans="1:2" x14ac:dyDescent="0.25">
      <c r="A76" s="21" t="s">
        <v>27</v>
      </c>
      <c r="B76" s="20">
        <f>B75/B73</f>
        <v>0.2</v>
      </c>
    </row>
    <row r="77" spans="1:2" x14ac:dyDescent="0.25">
      <c r="A77" s="21" t="s">
        <v>33</v>
      </c>
      <c r="B77" s="9">
        <f>B73+B75</f>
        <v>144</v>
      </c>
    </row>
    <row r="78" spans="1:2" x14ac:dyDescent="0.25">
      <c r="A78" s="21" t="s">
        <v>32</v>
      </c>
      <c r="B78" s="9">
        <f>B73*B74+B73</f>
        <v>144</v>
      </c>
    </row>
    <row r="79" spans="1:2" x14ac:dyDescent="0.25">
      <c r="A79" s="21" t="s">
        <v>29</v>
      </c>
      <c r="B79" s="9">
        <f>(1-B74)*B73</f>
        <v>96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Asus-Delgado</dc:creator>
  <cp:lastModifiedBy>Aluno</cp:lastModifiedBy>
  <dcterms:created xsi:type="dcterms:W3CDTF">2017-02-08T20:43:26Z</dcterms:created>
  <dcterms:modified xsi:type="dcterms:W3CDTF">2025-12-13T17:49:02Z</dcterms:modified>
</cp:coreProperties>
</file>