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4" i="1" l="1"/>
  <c r="R5" i="1"/>
  <c r="R6" i="1"/>
  <c r="R3" i="1"/>
  <c r="Q3" i="1"/>
  <c r="Q4" i="1"/>
  <c r="M4" i="1"/>
  <c r="M5" i="1"/>
  <c r="M6" i="1"/>
  <c r="M3" i="1"/>
  <c r="K4" i="1"/>
  <c r="K5" i="1"/>
  <c r="K6" i="1"/>
  <c r="K3" i="1"/>
  <c r="J4" i="1"/>
  <c r="J5" i="1"/>
  <c r="J6" i="1"/>
  <c r="J3" i="1"/>
  <c r="I4" i="1"/>
  <c r="O4" i="1" s="1"/>
  <c r="I5" i="1"/>
  <c r="O5" i="1" s="1"/>
  <c r="I6" i="1"/>
  <c r="O6" i="1" s="1"/>
  <c r="I3" i="1"/>
  <c r="O3" i="1" s="1"/>
  <c r="H4" i="1"/>
  <c r="P4" i="1" s="1"/>
  <c r="H5" i="1"/>
  <c r="Q5" i="1" s="1"/>
  <c r="H6" i="1"/>
  <c r="Q6" i="1" s="1"/>
  <c r="H3" i="1"/>
  <c r="P3" i="1" s="1"/>
  <c r="L6" i="1" l="1"/>
  <c r="N6" i="1"/>
  <c r="P6" i="1"/>
  <c r="L5" i="1"/>
  <c r="N5" i="1"/>
  <c r="P5" i="1"/>
  <c r="L4" i="1"/>
  <c r="N4" i="1"/>
  <c r="L3" i="1"/>
  <c r="N3" i="1"/>
</calcChain>
</file>

<file path=xl/sharedStrings.xml><?xml version="1.0" encoding="utf-8"?>
<sst xmlns="http://schemas.openxmlformats.org/spreadsheetml/2006/main" count="22" uniqueCount="22">
  <si>
    <t>Vendedor</t>
  </si>
  <si>
    <t>Jan</t>
  </si>
  <si>
    <t>Fev</t>
  </si>
  <si>
    <t>Mar</t>
  </si>
  <si>
    <t>Abr</t>
  </si>
  <si>
    <t>Mai</t>
  </si>
  <si>
    <t>Jun</t>
  </si>
  <si>
    <t>Ana</t>
  </si>
  <si>
    <t>Bruno</t>
  </si>
  <si>
    <t>Carla</t>
  </si>
  <si>
    <t>Diego</t>
  </si>
  <si>
    <t>Total Vendas</t>
  </si>
  <si>
    <t>Média Mensal</t>
  </si>
  <si>
    <t>Menor Venda</t>
  </si>
  <si>
    <t>Maior Venda</t>
  </si>
  <si>
    <t>Situação de Meta</t>
  </si>
  <si>
    <t>Bonificação</t>
  </si>
  <si>
    <t>Recebeu Destaque</t>
  </si>
  <si>
    <t>Atingiu Meta Semestral?</t>
  </si>
  <si>
    <t>Prêmio Especial</t>
  </si>
  <si>
    <t>Venda Mensal Abr.</t>
  </si>
  <si>
    <t>Comissão Calculada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</si>
</sst>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4" xfId="0" applyFill="1" applyBorder="1"/>
    <xf numFmtId="44" fontId="0" fillId="0" borderId="1" xfId="1" applyFont="1" applyBorder="1" applyAlignment="1">
      <alignment horizontal="center"/>
    </xf>
    <xf numFmtId="44" fontId="0" fillId="0" borderId="6" xfId="1" applyFont="1" applyBorder="1" applyAlignment="1">
      <alignment horizontal="center"/>
    </xf>
    <xf numFmtId="44" fontId="0" fillId="2" borderId="4" xfId="1" applyFont="1" applyFill="1" applyBorder="1"/>
    <xf numFmtId="44" fontId="0" fillId="0" borderId="3" xfId="1" applyFont="1" applyBorder="1" applyAlignment="1">
      <alignment horizontal="center"/>
    </xf>
    <xf numFmtId="44" fontId="0" fillId="0" borderId="7" xfId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Venda dos Funcionários</a:t>
            </a:r>
          </a:p>
        </c:rich>
      </c:tx>
      <c:layout/>
      <c:overlay val="0"/>
      <c:spPr>
        <a:solidFill>
          <a:schemeClr val="tx1">
            <a:lumMod val="75000"/>
            <a:lumOff val="25000"/>
            <a:alpha val="89000"/>
          </a:schemeClr>
        </a:solidFill>
        <a:ln cmpd="sng"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Plan1!$A$3</c:f>
              <c:strCache>
                <c:ptCount val="1"/>
                <c:pt idx="0">
                  <c:v>Ana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hade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shade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Plan1!$B$2:$H$2</c:f>
              <c:strCache>
                <c:ptCount val="7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Total Vendas</c:v>
                </c:pt>
              </c:strCache>
            </c:strRef>
          </c:cat>
          <c:val>
            <c:numRef>
              <c:f>Plan1!$B$3:$H$3</c:f>
              <c:numCache>
                <c:formatCode>_("R$"* #,##0.00_);_("R$"* \(#,##0.00\);_("R$"* "-"??_);_(@_)</c:formatCode>
                <c:ptCount val="7"/>
                <c:pt idx="0">
                  <c:v>12000</c:v>
                </c:pt>
                <c:pt idx="1">
                  <c:v>15000</c:v>
                </c:pt>
                <c:pt idx="2">
                  <c:v>14000</c:v>
                </c:pt>
                <c:pt idx="3">
                  <c:v>16000</c:v>
                </c:pt>
                <c:pt idx="4">
                  <c:v>15500</c:v>
                </c:pt>
                <c:pt idx="5">
                  <c:v>17000</c:v>
                </c:pt>
                <c:pt idx="6">
                  <c:v>89500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EB-4E03-BF2C-5F3C4202985D}"/>
            </c:ext>
          </c:extLst>
        </c:ser>
        <c:ser>
          <c:idx val="1"/>
          <c:order val="1"/>
          <c:tx>
            <c:strRef>
              <c:f>Plan1!$A$4</c:f>
              <c:strCache>
                <c:ptCount val="1"/>
                <c:pt idx="0">
                  <c:v>Bruno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hade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shade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Plan1!$B$2:$H$2</c:f>
              <c:strCache>
                <c:ptCount val="7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Total Vendas</c:v>
                </c:pt>
              </c:strCache>
            </c:strRef>
          </c:cat>
          <c:val>
            <c:numRef>
              <c:f>Plan1!$B$4:$H$4</c:f>
              <c:numCache>
                <c:formatCode>_("R$"* #,##0.00_);_("R$"* \(#,##0.00\);_("R$"* "-"??_);_(@_)</c:formatCode>
                <c:ptCount val="7"/>
                <c:pt idx="0">
                  <c:v>10000</c:v>
                </c:pt>
                <c:pt idx="1">
                  <c:v>11000</c:v>
                </c:pt>
                <c:pt idx="2">
                  <c:v>10500</c:v>
                </c:pt>
                <c:pt idx="3">
                  <c:v>12000</c:v>
                </c:pt>
                <c:pt idx="4">
                  <c:v>13000</c:v>
                </c:pt>
                <c:pt idx="5">
                  <c:v>12500</c:v>
                </c:pt>
                <c:pt idx="6">
                  <c:v>69000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EB-4E03-BF2C-5F3C4202985D}"/>
            </c:ext>
          </c:extLst>
        </c:ser>
        <c:ser>
          <c:idx val="2"/>
          <c:order val="2"/>
          <c:tx>
            <c:strRef>
              <c:f>Plan1!$A$5</c:f>
              <c:strCache>
                <c:ptCount val="1"/>
                <c:pt idx="0">
                  <c:v>Carla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Plan1!$B$2:$H$2</c:f>
              <c:strCache>
                <c:ptCount val="7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Total Vendas</c:v>
                </c:pt>
              </c:strCache>
            </c:strRef>
          </c:cat>
          <c:val>
            <c:numRef>
              <c:f>Plan1!$B$5:$H$5</c:f>
              <c:numCache>
                <c:formatCode>_("R$"* #,##0.00_);_("R$"* \(#,##0.00\);_("R$"* "-"??_);_(@_)</c:formatCode>
                <c:ptCount val="7"/>
                <c:pt idx="0">
                  <c:v>9000</c:v>
                </c:pt>
                <c:pt idx="1">
                  <c:v>9500</c:v>
                </c:pt>
                <c:pt idx="2">
                  <c:v>10000</c:v>
                </c:pt>
                <c:pt idx="3">
                  <c:v>11000</c:v>
                </c:pt>
                <c:pt idx="4">
                  <c:v>11500</c:v>
                </c:pt>
                <c:pt idx="5">
                  <c:v>12000</c:v>
                </c:pt>
                <c:pt idx="6">
                  <c:v>63000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EB-4E03-BF2C-5F3C4202985D}"/>
            </c:ext>
          </c:extLst>
        </c:ser>
        <c:ser>
          <c:idx val="3"/>
          <c:order val="3"/>
          <c:tx>
            <c:strRef>
              <c:f>Plan1!$A$6</c:f>
              <c:strCache>
                <c:ptCount val="1"/>
                <c:pt idx="0">
                  <c:v>Diego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tint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tint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Plan1!$B$2:$H$2</c:f>
              <c:strCache>
                <c:ptCount val="7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Total Vendas</c:v>
                </c:pt>
              </c:strCache>
            </c:strRef>
          </c:cat>
          <c:val>
            <c:numRef>
              <c:f>Plan1!$B$6:$H$6</c:f>
              <c:numCache>
                <c:formatCode>_("R$"* #,##0.00_);_("R$"* \(#,##0.00\);_("R$"* "-"??_);_(@_)</c:formatCode>
                <c:ptCount val="7"/>
                <c:pt idx="0">
                  <c:v>15000</c:v>
                </c:pt>
                <c:pt idx="1">
                  <c:v>14000</c:v>
                </c:pt>
                <c:pt idx="2">
                  <c:v>16000</c:v>
                </c:pt>
                <c:pt idx="3">
                  <c:v>17000</c:v>
                </c:pt>
                <c:pt idx="4">
                  <c:v>16500</c:v>
                </c:pt>
                <c:pt idx="5">
                  <c:v>18000</c:v>
                </c:pt>
                <c:pt idx="6">
                  <c:v>96500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EB-4E03-BF2C-5F3C420298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649848239"/>
        <c:axId val="1649844911"/>
      </c:barChart>
      <c:catAx>
        <c:axId val="1649848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49844911"/>
        <c:crosses val="autoZero"/>
        <c:auto val="1"/>
        <c:lblAlgn val="ctr"/>
        <c:lblOffset val="100"/>
        <c:noMultiLvlLbl val="0"/>
      </c:catAx>
      <c:valAx>
        <c:axId val="1649844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49848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Venda</a:t>
            </a:r>
            <a:r>
              <a:rPr lang="pt-BR" baseline="0"/>
              <a:t> dos Funcionários</a:t>
            </a:r>
            <a:endParaRPr lang="pt-B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percentStacked"/>
        <c:varyColors val="0"/>
        <c:ser>
          <c:idx val="0"/>
          <c:order val="0"/>
          <c:tx>
            <c:strRef>
              <c:f>Plan1!$A$3</c:f>
              <c:strCache>
                <c:ptCount val="1"/>
                <c:pt idx="0">
                  <c:v>Ana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Plan1!$B$2:$H$2</c:f>
              <c:strCache>
                <c:ptCount val="7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Total Vendas</c:v>
                </c:pt>
              </c:strCache>
            </c:strRef>
          </c:cat>
          <c:val>
            <c:numRef>
              <c:f>Plan1!$B$3:$H$3</c:f>
              <c:numCache>
                <c:formatCode>_("R$"* #,##0.00_);_("R$"* \(#,##0.00\);_("R$"* "-"??_);_(@_)</c:formatCode>
                <c:ptCount val="7"/>
                <c:pt idx="0">
                  <c:v>12000</c:v>
                </c:pt>
                <c:pt idx="1">
                  <c:v>15000</c:v>
                </c:pt>
                <c:pt idx="2">
                  <c:v>14000</c:v>
                </c:pt>
                <c:pt idx="3">
                  <c:v>16000</c:v>
                </c:pt>
                <c:pt idx="4">
                  <c:v>15500</c:v>
                </c:pt>
                <c:pt idx="5">
                  <c:v>17000</c:v>
                </c:pt>
                <c:pt idx="6">
                  <c:v>89500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02-423E-8CDE-45A199455EE4}"/>
            </c:ext>
          </c:extLst>
        </c:ser>
        <c:ser>
          <c:idx val="1"/>
          <c:order val="1"/>
          <c:tx>
            <c:strRef>
              <c:f>Plan1!$A$4</c:f>
              <c:strCache>
                <c:ptCount val="1"/>
                <c:pt idx="0">
                  <c:v>Bruno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Plan1!$B$2:$H$2</c:f>
              <c:strCache>
                <c:ptCount val="7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Total Vendas</c:v>
                </c:pt>
              </c:strCache>
            </c:strRef>
          </c:cat>
          <c:val>
            <c:numRef>
              <c:f>Plan1!$B$4:$H$4</c:f>
              <c:numCache>
                <c:formatCode>_("R$"* #,##0.00_);_("R$"* \(#,##0.00\);_("R$"* "-"??_);_(@_)</c:formatCode>
                <c:ptCount val="7"/>
                <c:pt idx="0">
                  <c:v>10000</c:v>
                </c:pt>
                <c:pt idx="1">
                  <c:v>11000</c:v>
                </c:pt>
                <c:pt idx="2">
                  <c:v>10500</c:v>
                </c:pt>
                <c:pt idx="3">
                  <c:v>12000</c:v>
                </c:pt>
                <c:pt idx="4">
                  <c:v>13000</c:v>
                </c:pt>
                <c:pt idx="5">
                  <c:v>12500</c:v>
                </c:pt>
                <c:pt idx="6">
                  <c:v>69000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02-423E-8CDE-45A199455EE4}"/>
            </c:ext>
          </c:extLst>
        </c:ser>
        <c:ser>
          <c:idx val="2"/>
          <c:order val="2"/>
          <c:tx>
            <c:strRef>
              <c:f>Plan1!$A$5</c:f>
              <c:strCache>
                <c:ptCount val="1"/>
                <c:pt idx="0">
                  <c:v>Carla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Plan1!$B$2:$H$2</c:f>
              <c:strCache>
                <c:ptCount val="7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Total Vendas</c:v>
                </c:pt>
              </c:strCache>
            </c:strRef>
          </c:cat>
          <c:val>
            <c:numRef>
              <c:f>Plan1!$B$5:$H$5</c:f>
              <c:numCache>
                <c:formatCode>_("R$"* #,##0.00_);_("R$"* \(#,##0.00\);_("R$"* "-"??_);_(@_)</c:formatCode>
                <c:ptCount val="7"/>
                <c:pt idx="0">
                  <c:v>9000</c:v>
                </c:pt>
                <c:pt idx="1">
                  <c:v>9500</c:v>
                </c:pt>
                <c:pt idx="2">
                  <c:v>10000</c:v>
                </c:pt>
                <c:pt idx="3">
                  <c:v>11000</c:v>
                </c:pt>
                <c:pt idx="4">
                  <c:v>11500</c:v>
                </c:pt>
                <c:pt idx="5">
                  <c:v>12000</c:v>
                </c:pt>
                <c:pt idx="6">
                  <c:v>63000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02-423E-8CDE-45A199455EE4}"/>
            </c:ext>
          </c:extLst>
        </c:ser>
        <c:ser>
          <c:idx val="3"/>
          <c:order val="3"/>
          <c:tx>
            <c:strRef>
              <c:f>Plan1!$A$6</c:f>
              <c:strCache>
                <c:ptCount val="1"/>
                <c:pt idx="0">
                  <c:v>Diego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Plan1!$B$2:$H$2</c:f>
              <c:strCache>
                <c:ptCount val="7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Total Vendas</c:v>
                </c:pt>
              </c:strCache>
            </c:strRef>
          </c:cat>
          <c:val>
            <c:numRef>
              <c:f>Plan1!$B$6:$H$6</c:f>
              <c:numCache>
                <c:formatCode>_("R$"* #,##0.00_);_("R$"* \(#,##0.00\);_("R$"* "-"??_);_(@_)</c:formatCode>
                <c:ptCount val="7"/>
                <c:pt idx="0">
                  <c:v>15000</c:v>
                </c:pt>
                <c:pt idx="1">
                  <c:v>14000</c:v>
                </c:pt>
                <c:pt idx="2">
                  <c:v>16000</c:v>
                </c:pt>
                <c:pt idx="3">
                  <c:v>17000</c:v>
                </c:pt>
                <c:pt idx="4">
                  <c:v>16500</c:v>
                </c:pt>
                <c:pt idx="5">
                  <c:v>18000</c:v>
                </c:pt>
                <c:pt idx="6">
                  <c:v>96500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02-423E-8CDE-45A199455E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8959535"/>
        <c:axId val="1468963695"/>
      </c:lineChart>
      <c:catAx>
        <c:axId val="1468959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8963695"/>
        <c:crosses val="autoZero"/>
        <c:auto val="1"/>
        <c:lblAlgn val="ctr"/>
        <c:lblOffset val="100"/>
        <c:noMultiLvlLbl val="0"/>
      </c:catAx>
      <c:valAx>
        <c:axId val="146896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8959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114300</xdr:rowOff>
    </xdr:from>
    <xdr:to>
      <xdr:col>9</xdr:col>
      <xdr:colOff>819149</xdr:colOff>
      <xdr:row>25</xdr:row>
      <xdr:rowOff>66675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381000</xdr:colOff>
      <xdr:row>7</xdr:row>
      <xdr:rowOff>152399</xdr:rowOff>
    </xdr:from>
    <xdr:to>
      <xdr:col>14</xdr:col>
      <xdr:colOff>539750</xdr:colOff>
      <xdr:row>25</xdr:row>
      <xdr:rowOff>63500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Views>
    <sheetView tabSelected="1" zoomScale="90" zoomScaleNormal="90" workbookViewId="0">
      <selection activeCell="R3" sqref="R3"/>
    </sheetView>
  </sheetViews>
  <sheetFormatPr defaultRowHeight="15" x14ac:dyDescent="0.25"/>
  <cols>
    <col min="1" max="1" width="11.140625" customWidth="1"/>
    <col min="2" max="2" width="17" customWidth="1"/>
    <col min="3" max="3" width="15.85546875" customWidth="1"/>
    <col min="4" max="4" width="14.5703125" customWidth="1"/>
    <col min="5" max="5" width="15.28515625" customWidth="1"/>
    <col min="6" max="6" width="14.140625" customWidth="1"/>
    <col min="7" max="7" width="14.5703125" customWidth="1"/>
    <col min="8" max="9" width="15.85546875" customWidth="1"/>
    <col min="10" max="10" width="13.5703125" customWidth="1"/>
    <col min="11" max="11" width="14.5703125" customWidth="1"/>
    <col min="12" max="13" width="17.5703125" customWidth="1"/>
    <col min="14" max="14" width="16.28515625" customWidth="1"/>
    <col min="15" max="15" width="18.140625" customWidth="1"/>
    <col min="16" max="17" width="22.42578125" customWidth="1"/>
    <col min="18" max="18" width="15.85546875" customWidth="1"/>
  </cols>
  <sheetData>
    <row r="1" spans="1:18" ht="15.75" thickBot="1" x14ac:dyDescent="0.3"/>
    <row r="2" spans="1:18" ht="15.75" thickBot="1" x14ac:dyDescent="0.3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10" t="s">
        <v>6</v>
      </c>
      <c r="H2" s="11" t="s">
        <v>11</v>
      </c>
      <c r="I2" s="11" t="s">
        <v>12</v>
      </c>
      <c r="J2" s="11" t="s">
        <v>13</v>
      </c>
      <c r="K2" s="11" t="s">
        <v>14</v>
      </c>
      <c r="L2" s="11" t="s">
        <v>15</v>
      </c>
      <c r="M2" s="11" t="s">
        <v>20</v>
      </c>
      <c r="N2" s="11" t="s">
        <v>16</v>
      </c>
      <c r="O2" s="11" t="s">
        <v>17</v>
      </c>
      <c r="P2" s="11" t="s">
        <v>18</v>
      </c>
      <c r="Q2" s="11" t="s">
        <v>21</v>
      </c>
      <c r="R2" s="11" t="s">
        <v>19</v>
      </c>
    </row>
    <row r="3" spans="1:18" ht="15.75" thickBot="1" x14ac:dyDescent="0.3">
      <c r="A3" s="1" t="s">
        <v>7</v>
      </c>
      <c r="B3" s="4">
        <v>12000</v>
      </c>
      <c r="C3" s="4">
        <v>15000</v>
      </c>
      <c r="D3" s="4">
        <v>14000</v>
      </c>
      <c r="E3" s="4">
        <v>16000</v>
      </c>
      <c r="F3" s="4">
        <v>15500</v>
      </c>
      <c r="G3" s="5">
        <v>17000</v>
      </c>
      <c r="H3" s="6">
        <f>SUM(B3:G3)</f>
        <v>89500</v>
      </c>
      <c r="I3" s="6">
        <f>AVERAGE(B3:G3)</f>
        <v>14916.666666666666</v>
      </c>
      <c r="J3" s="6">
        <f>SMALL(B3:G3,1)</f>
        <v>12000</v>
      </c>
      <c r="K3" s="6">
        <f>LARGE(B3:G3,1)</f>
        <v>17000</v>
      </c>
      <c r="L3" s="3" t="str">
        <f>IF(I3&gt;=14000,"Meta Atingida","Meta não Atingida")</f>
        <v>Meta Atingida</v>
      </c>
      <c r="M3" s="3" t="str">
        <f>IF(E3&gt;=15000,"Excelente","Normal")</f>
        <v>Excelente</v>
      </c>
      <c r="N3" s="3" t="str">
        <f>IF(AND(I3&gt;13000,MIN(B3:G3)&gt;=10000),"Recebe","Não recebe")</f>
        <v>Recebe</v>
      </c>
      <c r="O3" s="3" t="str">
        <f>IF(OR(MIN(B3:G3) &gt; 17000,I3&gt;15000),"Sim","Não")</f>
        <v>Não</v>
      </c>
      <c r="P3" s="3" t="str">
        <f>IF(H3&gt;=90000,"Atingiu","Não atingiu")</f>
        <v>Não atingiu</v>
      </c>
      <c r="Q3" s="3" t="str">
        <f>IF(H3&gt;85000,"Comissão de 5%",IF(H3&gt;=70000,"Recebe Comissão de 3%","Comissão de 0%"))</f>
        <v>Comissão de 5%</v>
      </c>
      <c r="R3" s="3" t="str">
        <f>IF(AND(I3&gt;14000,COUNTIF(B3:G3,"&gt;15000")&gt;=3),"Ganhou","Não ganhou")</f>
        <v>Ganhou</v>
      </c>
    </row>
    <row r="4" spans="1:18" ht="15.75" thickBot="1" x14ac:dyDescent="0.3">
      <c r="A4" s="1" t="s">
        <v>8</v>
      </c>
      <c r="B4" s="4">
        <v>10000</v>
      </c>
      <c r="C4" s="4">
        <v>11000</v>
      </c>
      <c r="D4" s="4">
        <v>10500</v>
      </c>
      <c r="E4" s="4">
        <v>12000</v>
      </c>
      <c r="F4" s="4">
        <v>13000</v>
      </c>
      <c r="G4" s="5">
        <v>12500</v>
      </c>
      <c r="H4" s="6">
        <f t="shared" ref="H4:H6" si="0">SUM(B4:G4)</f>
        <v>69000</v>
      </c>
      <c r="I4" s="6">
        <f t="shared" ref="I4:I6" si="1">AVERAGE(B4:G4)</f>
        <v>11500</v>
      </c>
      <c r="J4" s="6">
        <f t="shared" ref="J4:J6" si="2">SMALL(B4:G4,1)</f>
        <v>10000</v>
      </c>
      <c r="K4" s="6">
        <f t="shared" ref="K4:K6" si="3">LARGE(B4:G4,1)</f>
        <v>13000</v>
      </c>
      <c r="L4" s="3" t="str">
        <f t="shared" ref="L4:L6" si="4">IF(I4&gt;=14000,"Meta Atingida","Meta não Atingida")</f>
        <v>Meta não Atingida</v>
      </c>
      <c r="M4" s="3" t="str">
        <f t="shared" ref="M4:M6" si="5">IF(E4&gt;=15000,"Excelente","Normal")</f>
        <v>Normal</v>
      </c>
      <c r="N4" s="3" t="str">
        <f t="shared" ref="N4:N6" si="6">IF(AND(I4&gt;13000,MIN(B4:G4)&gt;=10000),"Recebe","Não recebe")</f>
        <v>Não recebe</v>
      </c>
      <c r="O4" s="3" t="str">
        <f t="shared" ref="O4:O6" si="7">IF(OR(MIN(B4:G4) &gt; 17000,I4&gt;15000),"Sim","Não")</f>
        <v>Não</v>
      </c>
      <c r="P4" s="3" t="str">
        <f t="shared" ref="P4:P6" si="8">IF(H4&gt;=90000,"Atingiu","Não atingiu")</f>
        <v>Não atingiu</v>
      </c>
      <c r="Q4" s="3" t="str">
        <f t="shared" ref="Q4:Q6" si="9">IF(H4&gt;85000,"Comissão de 5%",IF(H4&gt;=70000,"Recebe Comissão de 3%","Recebe Comissão de 0%"))</f>
        <v>Recebe Comissão de 0%</v>
      </c>
      <c r="R4" s="3" t="str">
        <f t="shared" ref="R4:R6" si="10">IF(AND(I4&gt;14000,COUNTIF(B4:G4,"&gt;15000")&gt;=3),"Ganhou","Não ganhou")</f>
        <v>Não ganhou</v>
      </c>
    </row>
    <row r="5" spans="1:18" ht="15.75" thickBot="1" x14ac:dyDescent="0.3">
      <c r="A5" s="1" t="s">
        <v>9</v>
      </c>
      <c r="B5" s="4">
        <v>9000</v>
      </c>
      <c r="C5" s="4">
        <v>9500</v>
      </c>
      <c r="D5" s="4">
        <v>10000</v>
      </c>
      <c r="E5" s="4">
        <v>11000</v>
      </c>
      <c r="F5" s="4">
        <v>11500</v>
      </c>
      <c r="G5" s="5">
        <v>12000</v>
      </c>
      <c r="H5" s="6">
        <f t="shared" si="0"/>
        <v>63000</v>
      </c>
      <c r="I5" s="6">
        <f t="shared" si="1"/>
        <v>10500</v>
      </c>
      <c r="J5" s="6">
        <f t="shared" si="2"/>
        <v>9000</v>
      </c>
      <c r="K5" s="6">
        <f t="shared" si="3"/>
        <v>12000</v>
      </c>
      <c r="L5" s="3" t="str">
        <f t="shared" si="4"/>
        <v>Meta não Atingida</v>
      </c>
      <c r="M5" s="3" t="str">
        <f t="shared" si="5"/>
        <v>Normal</v>
      </c>
      <c r="N5" s="3" t="str">
        <f t="shared" si="6"/>
        <v>Não recebe</v>
      </c>
      <c r="O5" s="3" t="str">
        <f t="shared" si="7"/>
        <v>Não</v>
      </c>
      <c r="P5" s="3" t="str">
        <f t="shared" si="8"/>
        <v>Não atingiu</v>
      </c>
      <c r="Q5" s="3" t="str">
        <f t="shared" si="9"/>
        <v>Recebe Comissão de 0%</v>
      </c>
      <c r="R5" s="3" t="str">
        <f t="shared" si="10"/>
        <v>Não ganhou</v>
      </c>
    </row>
    <row r="6" spans="1:18" ht="15.75" thickBot="1" x14ac:dyDescent="0.3">
      <c r="A6" s="2" t="s">
        <v>10</v>
      </c>
      <c r="B6" s="7">
        <v>15000</v>
      </c>
      <c r="C6" s="7">
        <v>14000</v>
      </c>
      <c r="D6" s="7">
        <v>16000</v>
      </c>
      <c r="E6" s="7">
        <v>17000</v>
      </c>
      <c r="F6" s="7">
        <v>16500</v>
      </c>
      <c r="G6" s="8">
        <v>18000</v>
      </c>
      <c r="H6" s="6">
        <f t="shared" si="0"/>
        <v>96500</v>
      </c>
      <c r="I6" s="6">
        <f t="shared" si="1"/>
        <v>16083.333333333334</v>
      </c>
      <c r="J6" s="6">
        <f t="shared" si="2"/>
        <v>14000</v>
      </c>
      <c r="K6" s="6">
        <f t="shared" si="3"/>
        <v>18000</v>
      </c>
      <c r="L6" s="3" t="str">
        <f t="shared" si="4"/>
        <v>Meta Atingida</v>
      </c>
      <c r="M6" s="3" t="str">
        <f t="shared" si="5"/>
        <v>Excelente</v>
      </c>
      <c r="N6" s="3" t="str">
        <f t="shared" si="6"/>
        <v>Recebe</v>
      </c>
      <c r="O6" s="3" t="str">
        <f t="shared" si="7"/>
        <v>Sim</v>
      </c>
      <c r="P6" s="3" t="str">
        <f t="shared" si="8"/>
        <v>Atingiu</v>
      </c>
      <c r="Q6" s="3" t="str">
        <f t="shared" si="9"/>
        <v>Comissão de 5%</v>
      </c>
      <c r="R6" s="3" t="str">
        <f t="shared" si="10"/>
        <v>Ganhou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2026-03-07T19:37:54Z</dcterms:modified>
</cp:coreProperties>
</file>