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luno\Desktop\Felipe Maciel\"/>
    </mc:Choice>
  </mc:AlternateContent>
  <bookViews>
    <workbookView xWindow="0" yWindow="0" windowWidth="28800" windowHeight="12330" firstSheet="4" activeTab="9"/>
  </bookViews>
  <sheets>
    <sheet name="Dados de Vendas" sheetId="19" r:id="rId1"/>
    <sheet name="Fórmulas Básicas" sheetId="16" r:id="rId2"/>
    <sheet name="RELACIONAMENTOS" sheetId="21" r:id="rId3"/>
    <sheet name="SE - IDADES" sheetId="27" r:id="rId4"/>
    <sheet name="PROCV 1" sheetId="23" r:id="rId5"/>
    <sheet name="CONTAR E SOMAR COM CONDIÇÕES" sheetId="13" r:id="rId6"/>
    <sheet name="REGIÕES" sheetId="25" r:id="rId7"/>
    <sheet name="PROTEÇÃO DE PLANILHAS" sheetId="26" r:id="rId8"/>
    <sheet name="AUDITORIA DE FÓRMULAS" sheetId="34" r:id="rId9"/>
    <sheet name="JANELA DE INSPEÇÃO" sheetId="35" r:id="rId10"/>
  </sheets>
  <definedNames>
    <definedName name="_xlnm._FilterDatabase" localSheetId="5" hidden="1">'CONTAR E SOMAR COM CONDIÇÕES'!$B$16:$C$18</definedName>
    <definedName name="_xlnm._FilterDatabase" localSheetId="0" hidden="1">'Dados de Vendas'!$A$1:$X$1</definedName>
    <definedName name="_xlnm.Print_Area" localSheetId="0">'Dados de Vendas'!$A$1:$X$92</definedName>
    <definedName name="_xlnm.Print_Titles" localSheetId="0">'Dados de Vendas'!$1:$1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5" l="1"/>
  <c r="G21" i="13" l="1"/>
  <c r="G17" i="13"/>
  <c r="G14" i="13"/>
  <c r="G11" i="13"/>
  <c r="C14" i="13"/>
  <c r="C36" i="13"/>
  <c r="C33" i="13"/>
  <c r="C29" i="13"/>
  <c r="C26" i="13"/>
  <c r="C21" i="13"/>
  <c r="C17" i="13"/>
  <c r="C11" i="13"/>
  <c r="C8" i="13"/>
  <c r="C3" i="27" l="1"/>
  <c r="C4" i="27"/>
  <c r="C5" i="27"/>
  <c r="C6" i="27"/>
  <c r="C7" i="27"/>
  <c r="C8" i="27"/>
  <c r="C2" i="27"/>
  <c r="D10" i="16"/>
  <c r="D9" i="16"/>
  <c r="D8" i="16"/>
  <c r="C10" i="16"/>
  <c r="C9" i="16"/>
  <c r="C8" i="16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87" i="19"/>
  <c r="W88" i="19"/>
  <c r="W89" i="19"/>
  <c r="W90" i="19"/>
  <c r="W91" i="19"/>
  <c r="W92" i="19"/>
  <c r="W2" i="19"/>
  <c r="V2" i="19"/>
  <c r="V3" i="19"/>
  <c r="V4" i="19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0" i="19"/>
  <c r="V81" i="19"/>
  <c r="V82" i="19"/>
  <c r="V83" i="19"/>
  <c r="V84" i="19"/>
  <c r="V85" i="19"/>
  <c r="V86" i="19"/>
  <c r="V87" i="19"/>
  <c r="V88" i="19"/>
  <c r="V89" i="19"/>
  <c r="V90" i="19"/>
  <c r="V91" i="19"/>
  <c r="V92" i="19"/>
  <c r="U3" i="19"/>
  <c r="U4" i="19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66" i="19"/>
  <c r="U67" i="19"/>
  <c r="U68" i="19"/>
  <c r="U69" i="19"/>
  <c r="U70" i="19"/>
  <c r="U71" i="19"/>
  <c r="U72" i="19"/>
  <c r="U73" i="19"/>
  <c r="U74" i="19"/>
  <c r="U75" i="19"/>
  <c r="U76" i="19"/>
  <c r="U77" i="19"/>
  <c r="U78" i="19"/>
  <c r="U79" i="19"/>
  <c r="U80" i="19"/>
  <c r="U81" i="19"/>
  <c r="U82" i="19"/>
  <c r="U83" i="19"/>
  <c r="U84" i="19"/>
  <c r="U85" i="19"/>
  <c r="U86" i="19"/>
  <c r="U87" i="19"/>
  <c r="U88" i="19"/>
  <c r="U89" i="19"/>
  <c r="U90" i="19"/>
  <c r="U91" i="19"/>
  <c r="U92" i="19"/>
  <c r="U2" i="19"/>
  <c r="T3" i="19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85" i="19"/>
  <c r="T86" i="19"/>
  <c r="T87" i="19"/>
  <c r="T88" i="19"/>
  <c r="T89" i="19"/>
  <c r="T90" i="19"/>
  <c r="T91" i="19"/>
  <c r="T92" i="19"/>
  <c r="T2" i="19"/>
  <c r="S3" i="19"/>
  <c r="S4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65" i="19"/>
  <c r="S66" i="19"/>
  <c r="S67" i="19"/>
  <c r="S68" i="19"/>
  <c r="S69" i="19"/>
  <c r="S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2" i="19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R73" i="19"/>
  <c r="R74" i="19"/>
  <c r="R75" i="19"/>
  <c r="R76" i="19"/>
  <c r="R77" i="19"/>
  <c r="R78" i="19"/>
  <c r="R79" i="19"/>
  <c r="R80" i="19"/>
  <c r="R81" i="19"/>
  <c r="R82" i="19"/>
  <c r="R83" i="19"/>
  <c r="R84" i="19"/>
  <c r="R85" i="19"/>
  <c r="R86" i="19"/>
  <c r="R87" i="19"/>
  <c r="R88" i="19"/>
  <c r="R89" i="19"/>
  <c r="R90" i="19"/>
  <c r="R91" i="19"/>
  <c r="R92" i="19"/>
  <c r="R2" i="19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Q89" i="19"/>
  <c r="Q90" i="19"/>
  <c r="Q91" i="19"/>
  <c r="Q92" i="19"/>
  <c r="Q2" i="19"/>
  <c r="P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P76" i="19"/>
  <c r="P77" i="19"/>
  <c r="P78" i="19"/>
  <c r="P79" i="19"/>
  <c r="P80" i="19"/>
  <c r="P81" i="19"/>
  <c r="P82" i="19"/>
  <c r="P83" i="19"/>
  <c r="P84" i="19"/>
  <c r="P85" i="19"/>
  <c r="P86" i="19"/>
  <c r="P87" i="19"/>
  <c r="P88" i="19"/>
  <c r="P89" i="19"/>
  <c r="P90" i="19"/>
  <c r="P91" i="19"/>
  <c r="P92" i="19"/>
  <c r="P2" i="19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2" i="19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2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2" i="19"/>
  <c r="L3" i="19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2" i="19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2" i="19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K80" i="19"/>
  <c r="K81" i="19"/>
  <c r="K82" i="19"/>
  <c r="K83" i="19"/>
  <c r="K84" i="19"/>
  <c r="K85" i="19"/>
  <c r="K86" i="19"/>
  <c r="K87" i="19"/>
  <c r="K88" i="19"/>
  <c r="K89" i="19"/>
  <c r="K90" i="19"/>
  <c r="K91" i="19"/>
  <c r="K92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2" i="19"/>
  <c r="K2" i="19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2" i="19"/>
  <c r="H2" i="19"/>
  <c r="C3" i="23"/>
  <c r="C4" i="23"/>
  <c r="C5" i="23"/>
  <c r="C2" i="23"/>
  <c r="B3" i="23"/>
  <c r="B4" i="23"/>
  <c r="B5" i="23"/>
  <c r="B2" i="23"/>
  <c r="E91" i="19" l="1"/>
  <c r="E11" i="34" l="1"/>
  <c r="B2" i="35" s="1"/>
  <c r="D5" i="26"/>
  <c r="D4" i="26"/>
  <c r="D3" i="26"/>
  <c r="D2" i="26"/>
  <c r="C28" i="13"/>
  <c r="C20" i="13"/>
  <c r="C16" i="13"/>
  <c r="C6" i="23"/>
  <c r="Q3" i="21"/>
  <c r="R3" i="21" s="1"/>
  <c r="Q4" i="21" s="1"/>
  <c r="R4" i="21" s="1"/>
  <c r="Q5" i="21" s="1"/>
  <c r="R5" i="21" s="1"/>
  <c r="Q6" i="21" s="1"/>
  <c r="E2" i="19"/>
  <c r="E3" i="19"/>
  <c r="E4" i="19"/>
  <c r="E5" i="19"/>
  <c r="E20" i="19"/>
  <c r="E24" i="19"/>
  <c r="E25" i="19"/>
  <c r="E26" i="19"/>
  <c r="E36" i="19"/>
  <c r="E37" i="19"/>
  <c r="E38" i="19"/>
  <c r="E42" i="19"/>
  <c r="E52" i="19"/>
  <c r="E53" i="19"/>
  <c r="E54" i="19"/>
  <c r="E56" i="19"/>
  <c r="E57" i="19"/>
  <c r="E58" i="19"/>
  <c r="E59" i="19"/>
  <c r="E60" i="19"/>
  <c r="E61" i="19"/>
  <c r="E62" i="19"/>
  <c r="E63" i="19"/>
  <c r="E64" i="19"/>
  <c r="E65" i="19"/>
  <c r="E66" i="19"/>
  <c r="E80" i="19"/>
  <c r="E81" i="19"/>
  <c r="E85" i="19"/>
  <c r="E86" i="19"/>
  <c r="E6" i="19"/>
  <c r="E11" i="19"/>
  <c r="E21" i="19"/>
  <c r="E39" i="19"/>
  <c r="E44" i="19"/>
  <c r="E67" i="19"/>
  <c r="E68" i="19"/>
  <c r="E82" i="19"/>
  <c r="E83" i="19"/>
  <c r="E7" i="19"/>
  <c r="E8" i="19"/>
  <c r="E12" i="19"/>
  <c r="E13" i="19"/>
  <c r="E17" i="19"/>
  <c r="E27" i="19"/>
  <c r="E40" i="19"/>
  <c r="E43" i="19"/>
  <c r="E45" i="19"/>
  <c r="E69" i="19"/>
  <c r="E70" i="19"/>
  <c r="E71" i="19"/>
  <c r="E72" i="19"/>
  <c r="E73" i="19"/>
  <c r="E74" i="19"/>
  <c r="E84" i="19"/>
  <c r="E87" i="19"/>
  <c r="E88" i="19"/>
  <c r="E9" i="19"/>
  <c r="E10" i="19"/>
  <c r="E14" i="19"/>
  <c r="E15" i="19"/>
  <c r="E16" i="19"/>
  <c r="E18" i="19"/>
  <c r="E19" i="19"/>
  <c r="E22" i="19"/>
  <c r="E23" i="19"/>
  <c r="E28" i="19"/>
  <c r="E29" i="19"/>
  <c r="E30" i="19"/>
  <c r="E31" i="19"/>
  <c r="E32" i="19"/>
  <c r="E33" i="19"/>
  <c r="E34" i="19"/>
  <c r="E35" i="19"/>
  <c r="E41" i="19"/>
  <c r="E46" i="19"/>
  <c r="E47" i="19"/>
  <c r="E48" i="19"/>
  <c r="E49" i="19"/>
  <c r="E50" i="19"/>
  <c r="E51" i="19"/>
  <c r="E55" i="19"/>
  <c r="E75" i="19"/>
  <c r="E76" i="19"/>
  <c r="E77" i="19"/>
  <c r="E78" i="19"/>
  <c r="E79" i="19"/>
  <c r="E89" i="19"/>
  <c r="E90" i="19"/>
  <c r="E92" i="19"/>
  <c r="R6" i="21" l="1"/>
  <c r="Q7" i="21" s="1"/>
  <c r="R7" i="21" s="1"/>
  <c r="Q8" i="21" s="1"/>
  <c r="R8" i="21" s="1"/>
  <c r="Q9" i="21" s="1"/>
  <c r="R9" i="21" s="1"/>
  <c r="Q10" i="21" s="1"/>
  <c r="R10" i="21" s="1"/>
  <c r="Q11" i="21" s="1"/>
  <c r="R14" i="21" l="1"/>
</calcChain>
</file>

<file path=xl/sharedStrings.xml><?xml version="1.0" encoding="utf-8"?>
<sst xmlns="http://schemas.openxmlformats.org/spreadsheetml/2006/main" count="522" uniqueCount="273">
  <si>
    <t>Produto</t>
  </si>
  <si>
    <t>Regiao</t>
  </si>
  <si>
    <t>SUL</t>
  </si>
  <si>
    <t>SUDESTE</t>
  </si>
  <si>
    <t>NORDESTE</t>
  </si>
  <si>
    <t>CENTRO-OESTE</t>
  </si>
  <si>
    <t>Dorflex</t>
  </si>
  <si>
    <t>Qtde</t>
  </si>
  <si>
    <t>Valor da venda</t>
  </si>
  <si>
    <t>Fabricante</t>
  </si>
  <si>
    <t>ATOTAL</t>
  </si>
  <si>
    <t>ABC REMÉDIOS</t>
  </si>
  <si>
    <t>Valor de Venda</t>
  </si>
  <si>
    <t>Coopercarga</t>
  </si>
  <si>
    <t>Gerente</t>
  </si>
  <si>
    <t>Fernando</t>
  </si>
  <si>
    <t>Simone</t>
  </si>
  <si>
    <t>Talita</t>
  </si>
  <si>
    <t>Supervisor</t>
  </si>
  <si>
    <t>João</t>
  </si>
  <si>
    <t>Maria</t>
  </si>
  <si>
    <t>CONT.SE</t>
  </si>
  <si>
    <t>CONT.SES</t>
  </si>
  <si>
    <t>SOMASE</t>
  </si>
  <si>
    <t>SOMASES</t>
  </si>
  <si>
    <t>Valor Unitário</t>
  </si>
  <si>
    <t>REGIÃO</t>
  </si>
  <si>
    <t>Tylenol</t>
  </si>
  <si>
    <t>Data</t>
  </si>
  <si>
    <t>Mês e Ano</t>
  </si>
  <si>
    <t>Dia da Semana</t>
  </si>
  <si>
    <t>PRODUTO</t>
  </si>
  <si>
    <t>CONT.VALORES</t>
  </si>
  <si>
    <t>Gerente 2</t>
  </si>
  <si>
    <t>Daniel</t>
  </si>
  <si>
    <t>Raquel</t>
  </si>
  <si>
    <t>Contar quantidades &gt; 500</t>
  </si>
  <si>
    <t>Gerente2</t>
  </si>
  <si>
    <t>Tatiane</t>
  </si>
  <si>
    <t>Thais</t>
  </si>
  <si>
    <t>Resultado</t>
  </si>
  <si>
    <t>código de barras</t>
  </si>
  <si>
    <t>tylenol</t>
  </si>
  <si>
    <t>dorflex</t>
  </si>
  <si>
    <t>Região</t>
  </si>
  <si>
    <t>Frete</t>
  </si>
  <si>
    <t>META MAIOR R$ 500,00</t>
  </si>
  <si>
    <t>META - QUANTIDADE MAIOR 300 unid</t>
  </si>
  <si>
    <t>CÓDIGOS DE BARRA</t>
  </si>
  <si>
    <t>NOME DO PRODUTO</t>
  </si>
  <si>
    <t>PREÇO</t>
  </si>
  <si>
    <t>CÓDIGO DE BARRAS</t>
  </si>
  <si>
    <t>VALOR TOTAL</t>
  </si>
  <si>
    <t>Álcool</t>
  </si>
  <si>
    <t>Amoníaco</t>
  </si>
  <si>
    <t>Bombril</t>
  </si>
  <si>
    <t>Cera</t>
  </si>
  <si>
    <t>Amaciante</t>
  </si>
  <si>
    <t>Desinfetante</t>
  </si>
  <si>
    <t>Detergente</t>
  </si>
  <si>
    <t>Esponja</t>
  </si>
  <si>
    <t>Filtro de papel</t>
  </si>
  <si>
    <t>Flanela</t>
  </si>
  <si>
    <t>Fósforo</t>
  </si>
  <si>
    <t>Guardanapo</t>
  </si>
  <si>
    <t>Lâmpada</t>
  </si>
  <si>
    <t>Limpa prata</t>
  </si>
  <si>
    <t>Palitos</t>
  </si>
  <si>
    <t>Pano de chão</t>
  </si>
  <si>
    <t>Papel alumínio</t>
  </si>
  <si>
    <t>Papel Toalha</t>
  </si>
  <si>
    <t>Passe bem</t>
  </si>
  <si>
    <t>Purificador de ar</t>
  </si>
  <si>
    <t>Removedor</t>
  </si>
  <si>
    <t>Sabão de coco</t>
  </si>
  <si>
    <t>Sabão em barra</t>
  </si>
  <si>
    <t>Sabão em pasta</t>
  </si>
  <si>
    <t>Sabão em pó</t>
  </si>
  <si>
    <t>Sacos de lixo</t>
  </si>
  <si>
    <t>Sapólio</t>
  </si>
  <si>
    <t>Vanish</t>
  </si>
  <si>
    <t>Veja Multi Uso</t>
  </si>
  <si>
    <t>Creme dental</t>
  </si>
  <si>
    <t>Cotonetes</t>
  </si>
  <si>
    <t>Condicionador</t>
  </si>
  <si>
    <t>Desodorante</t>
  </si>
  <si>
    <t>Esponja de banho</t>
  </si>
  <si>
    <t>Fio / fita dental</t>
  </si>
  <si>
    <t>Lenço de papel</t>
  </si>
  <si>
    <t>Aparelho de barbear</t>
  </si>
  <si>
    <t>Sabão de Barba</t>
  </si>
  <si>
    <t>Sabonete</t>
  </si>
  <si>
    <t>Shampoo</t>
  </si>
  <si>
    <t>Papel Higiênico</t>
  </si>
  <si>
    <t>Hidratante</t>
  </si>
  <si>
    <t>Escova de dente</t>
  </si>
  <si>
    <t>Creme de leite Fresco</t>
  </si>
  <si>
    <t>Fermento biológico</t>
  </si>
  <si>
    <t>Iogurtes</t>
  </si>
  <si>
    <t>Manteiga</t>
  </si>
  <si>
    <t>Margarina</t>
  </si>
  <si>
    <t>Massa de pastel</t>
  </si>
  <si>
    <t>Massas frescas</t>
  </si>
  <si>
    <t>Mortadela</t>
  </si>
  <si>
    <t>Peito de Peru</t>
  </si>
  <si>
    <t>Presunto</t>
  </si>
  <si>
    <t>Queijo Branco</t>
  </si>
  <si>
    <t>Queijo Prato</t>
  </si>
  <si>
    <t>Requeijão</t>
  </si>
  <si>
    <t>Ricota</t>
  </si>
  <si>
    <t>Salame</t>
  </si>
  <si>
    <t>Salsicha</t>
  </si>
  <si>
    <t>Açúcar</t>
  </si>
  <si>
    <t>Amendoim</t>
  </si>
  <si>
    <t>Arroz</t>
  </si>
  <si>
    <t>Atum</t>
  </si>
  <si>
    <t>Aveia</t>
  </si>
  <si>
    <t>Azeite</t>
  </si>
  <si>
    <t>Azeitonas</t>
  </si>
  <si>
    <t>Barrinhas de cereal</t>
  </si>
  <si>
    <t>Batata palha</t>
  </si>
  <si>
    <t>Baunilha</t>
  </si>
  <si>
    <t>Biscoitos doces</t>
  </si>
  <si>
    <t>Biscoitos salgados</t>
  </si>
  <si>
    <t>Café</t>
  </si>
  <si>
    <t>Caldo tablete (carne, legume, frango)</t>
  </si>
  <si>
    <t>Carne</t>
  </si>
  <si>
    <t>Carne de porco</t>
  </si>
  <si>
    <t>Catchup</t>
  </si>
  <si>
    <t>Chá</t>
  </si>
  <si>
    <t>Champignon</t>
  </si>
  <si>
    <t>Chocolate</t>
  </si>
  <si>
    <t>Chocolate em pó</t>
  </si>
  <si>
    <t>Creme de leite</t>
  </si>
  <si>
    <t>Ervilha</t>
  </si>
  <si>
    <t>Farinha de mandioca</t>
  </si>
  <si>
    <t>Farinha de rosca</t>
  </si>
  <si>
    <t>Farinha de trigo</t>
  </si>
  <si>
    <t>Feijão</t>
  </si>
  <si>
    <t>Fermento em pó</t>
  </si>
  <si>
    <t>Frango</t>
  </si>
  <si>
    <t>Frutas  em lata</t>
  </si>
  <si>
    <t>Fubá</t>
  </si>
  <si>
    <t>Gelatina</t>
  </si>
  <si>
    <t>Geleias</t>
  </si>
  <si>
    <t>Goiabada</t>
  </si>
  <si>
    <t>Lasanha</t>
  </si>
  <si>
    <t>Leite</t>
  </si>
  <si>
    <t>Leite Condensado</t>
  </si>
  <si>
    <t>Leite de coco</t>
  </si>
  <si>
    <t>Leite em pó</t>
  </si>
  <si>
    <t>Lentilha</t>
  </si>
  <si>
    <t>Macarrão</t>
  </si>
  <si>
    <t>Maionese</t>
  </si>
  <si>
    <t>Maisena</t>
  </si>
  <si>
    <t>Mel</t>
  </si>
  <si>
    <t>Milho verde</t>
  </si>
  <si>
    <t>Molho / Massa de tomate</t>
  </si>
  <si>
    <t>Molho Barbecue</t>
  </si>
  <si>
    <t>Molho inglês</t>
  </si>
  <si>
    <t>Molho Shoyu</t>
  </si>
  <si>
    <t>Mostarda</t>
  </si>
  <si>
    <t>Óleo</t>
  </si>
  <si>
    <t>Palmito</t>
  </si>
  <si>
    <t>Pão de forma</t>
  </si>
  <si>
    <t>Peixes</t>
  </si>
  <si>
    <t>Picles</t>
  </si>
  <si>
    <t>Pimenta do Reino</t>
  </si>
  <si>
    <t>Pipoca</t>
  </si>
  <si>
    <t>Queijo Ralado</t>
  </si>
  <si>
    <t>Refrigerantes</t>
  </si>
  <si>
    <t>Sal</t>
  </si>
  <si>
    <t>Sucos</t>
  </si>
  <si>
    <t>Alho</t>
  </si>
  <si>
    <t>Banana</t>
  </si>
  <si>
    <t>Batata</t>
  </si>
  <si>
    <t>Berinjela</t>
  </si>
  <si>
    <t>Brócolis</t>
  </si>
  <si>
    <t>Cebola</t>
  </si>
  <si>
    <t>Cenoura</t>
  </si>
  <si>
    <t>Chuchu</t>
  </si>
  <si>
    <t>Couve-flor</t>
  </si>
  <si>
    <t>Couve mineira</t>
  </si>
  <si>
    <t>Escarola</t>
  </si>
  <si>
    <t>Espinafre</t>
  </si>
  <si>
    <t>Laranja</t>
  </si>
  <si>
    <t>Limão</t>
  </si>
  <si>
    <t>Maçã</t>
  </si>
  <si>
    <t>Mamão</t>
  </si>
  <si>
    <t>Manga</t>
  </si>
  <si>
    <t>Ovos</t>
  </si>
  <si>
    <t>Pimentão</t>
  </si>
  <si>
    <t>Repolho</t>
  </si>
  <si>
    <t>Tomate</t>
  </si>
  <si>
    <t>Vagem</t>
  </si>
  <si>
    <t>alface</t>
  </si>
  <si>
    <t>1&gt;1</t>
  </si>
  <si>
    <t>1=1</t>
  </si>
  <si>
    <t>1&lt;1</t>
  </si>
  <si>
    <t>1&gt;=1</t>
  </si>
  <si>
    <t>1&lt;=1</t>
  </si>
  <si>
    <t>1&lt;&gt;1</t>
  </si>
  <si>
    <r>
      <t xml:space="preserve">Um é </t>
    </r>
    <r>
      <rPr>
        <b/>
        <u/>
        <sz val="11"/>
        <color theme="1"/>
        <rFont val="Calibri"/>
        <family val="2"/>
        <scheme val="minor"/>
      </rPr>
      <t>igual</t>
    </r>
    <r>
      <rPr>
        <sz val="11"/>
        <color theme="1"/>
        <rFont val="Calibri"/>
        <family val="2"/>
        <scheme val="minor"/>
      </rPr>
      <t xml:space="preserve"> a um?</t>
    </r>
  </si>
  <si>
    <r>
      <t xml:space="preserve">Um é </t>
    </r>
    <r>
      <rPr>
        <b/>
        <u/>
        <sz val="11"/>
        <color theme="1"/>
        <rFont val="Calibri"/>
        <family val="2"/>
        <scheme val="minor"/>
      </rPr>
      <t>maior</t>
    </r>
    <r>
      <rPr>
        <sz val="11"/>
        <color theme="1"/>
        <rFont val="Calibri"/>
        <family val="2"/>
        <scheme val="minor"/>
      </rPr>
      <t xml:space="preserve"> que um?</t>
    </r>
  </si>
  <si>
    <r>
      <t xml:space="preserve">Um é </t>
    </r>
    <r>
      <rPr>
        <b/>
        <u/>
        <sz val="11"/>
        <color theme="1"/>
        <rFont val="Calibri"/>
        <family val="2"/>
        <scheme val="minor"/>
      </rPr>
      <t>menor</t>
    </r>
    <r>
      <rPr>
        <sz val="11"/>
        <color theme="1"/>
        <rFont val="Calibri"/>
        <family val="2"/>
        <scheme val="minor"/>
      </rPr>
      <t xml:space="preserve"> que um?</t>
    </r>
  </si>
  <si>
    <r>
      <t xml:space="preserve">Um é </t>
    </r>
    <r>
      <rPr>
        <b/>
        <u/>
        <sz val="11"/>
        <color theme="1"/>
        <rFont val="Calibri"/>
        <family val="2"/>
        <scheme val="minor"/>
      </rPr>
      <t>maior ou igual</t>
    </r>
    <r>
      <rPr>
        <sz val="11"/>
        <color theme="1"/>
        <rFont val="Calibri"/>
        <family val="2"/>
        <scheme val="minor"/>
      </rPr>
      <t xml:space="preserve"> a um?</t>
    </r>
  </si>
  <si>
    <r>
      <t xml:space="preserve">Um é </t>
    </r>
    <r>
      <rPr>
        <b/>
        <u/>
        <sz val="11"/>
        <color theme="1"/>
        <rFont val="Calibri"/>
        <family val="2"/>
        <scheme val="minor"/>
      </rPr>
      <t>menor ou igual</t>
    </r>
    <r>
      <rPr>
        <sz val="11"/>
        <color theme="1"/>
        <rFont val="Calibri"/>
        <family val="2"/>
        <scheme val="minor"/>
      </rPr>
      <t xml:space="preserve"> a um?</t>
    </r>
  </si>
  <si>
    <r>
      <t xml:space="preserve">Um é </t>
    </r>
    <r>
      <rPr>
        <b/>
        <u/>
        <sz val="11"/>
        <color theme="1"/>
        <rFont val="Calibri"/>
        <family val="2"/>
        <scheme val="minor"/>
      </rPr>
      <t>diferente</t>
    </r>
    <r>
      <rPr>
        <sz val="11"/>
        <color theme="1"/>
        <rFont val="Calibri"/>
        <family val="2"/>
        <scheme val="minor"/>
      </rPr>
      <t xml:space="preserve"> de um?</t>
    </r>
  </si>
  <si>
    <t>TESTE (teste_lógico)</t>
  </si>
  <si>
    <t>COMISSÃO</t>
  </si>
  <si>
    <t>VALOR DE VENDA MÍNIMO</t>
  </si>
  <si>
    <t>VALOR DE VENDAMÁXIMO</t>
  </si>
  <si>
    <t>MAIORES QUE R$ 1.801,00</t>
  </si>
  <si>
    <t>VALOR A SER TESTADO</t>
  </si>
  <si>
    <t>Contar quantidade total de registros de venda</t>
  </si>
  <si>
    <t>COUNTA</t>
  </si>
  <si>
    <t>COUNTIF</t>
  </si>
  <si>
    <t>COUNTIFS</t>
  </si>
  <si>
    <t>SUMIF</t>
  </si>
  <si>
    <t>SUMIFS</t>
  </si>
  <si>
    <t>Contar registros de venda da região SUL</t>
  </si>
  <si>
    <t>Contar registros de venda da produto TYLENOL na região SUL</t>
  </si>
  <si>
    <t>Contar registros de venda do Dorflex</t>
  </si>
  <si>
    <t>GERENTE</t>
  </si>
  <si>
    <t>Somar as QUANTIDADES vendidas do Produto Selecionado</t>
  </si>
  <si>
    <t>Somar as  QUANTIDADES do Gerente e Produto Selecionados</t>
  </si>
  <si>
    <t>Exercícios adicionais</t>
  </si>
  <si>
    <t>QUANTIDADE</t>
  </si>
  <si>
    <t>VALOR UNIÁRIO</t>
  </si>
  <si>
    <t>A</t>
  </si>
  <si>
    <t>B</t>
  </si>
  <si>
    <t>C</t>
  </si>
  <si>
    <t>D</t>
  </si>
  <si>
    <t>Valor máximo (MAX)</t>
  </si>
  <si>
    <t>Valor Mínimo (MIN)</t>
  </si>
  <si>
    <t>Valor médio (AVERAGE)</t>
  </si>
  <si>
    <t>Mês (MONTH)</t>
  </si>
  <si>
    <t>Ano (YEAR)</t>
  </si>
  <si>
    <t>Contar registros posteriores a 1/1/12</t>
  </si>
  <si>
    <t>TESTE - FORMATAÇÃO CONDICIONAL</t>
  </si>
  <si>
    <t>CONTAR VENDAS REALIZADAS NO DIA 01/01/2012</t>
  </si>
  <si>
    <t>IDADE</t>
  </si>
  <si>
    <t>NOME</t>
  </si>
  <si>
    <t>CLASSIFICAÇÃO: MAIOR OU MENOR DE IDADE</t>
  </si>
  <si>
    <t>JOÃO</t>
  </si>
  <si>
    <t>PEDRO</t>
  </si>
  <si>
    <t>JOSÉ</t>
  </si>
  <si>
    <t>MARIA</t>
  </si>
  <si>
    <t>SILVIA</t>
  </si>
  <si>
    <t xml:space="preserve">ADÃO </t>
  </si>
  <si>
    <t>EVA</t>
  </si>
  <si>
    <t>FRETE NA PROMOÇÃO</t>
  </si>
  <si>
    <t>COMISSÃO - BASE 1</t>
  </si>
  <si>
    <t>COMISSÃO  BASE 2</t>
  </si>
  <si>
    <t>COMISSÃO BASE 1</t>
  </si>
  <si>
    <t>PROCV</t>
  </si>
  <si>
    <t>VLOOKUP</t>
  </si>
  <si>
    <t>Código de Barras</t>
  </si>
  <si>
    <t>Revista</t>
  </si>
  <si>
    <t>Jornal</t>
  </si>
  <si>
    <t>Internet</t>
  </si>
  <si>
    <t>Investimentos em Propaganda</t>
  </si>
  <si>
    <t>Selecione o Produto</t>
  </si>
  <si>
    <t>Gasto Total</t>
  </si>
  <si>
    <t>E</t>
  </si>
  <si>
    <t>F</t>
  </si>
  <si>
    <t>G</t>
  </si>
  <si>
    <t>Valor total + R$1.000,00</t>
  </si>
  <si>
    <t>ALGUMA META FOI ATINGIDA? FÓRMULA "OU" (OR)</t>
  </si>
  <si>
    <t>AS DUAS METAS FORAM ATINGIDAS? FÓRMULA "E" ("AND")</t>
  </si>
  <si>
    <t>Produtos</t>
  </si>
  <si>
    <t>Neosa</t>
  </si>
  <si>
    <t>Contar registros de venda do TYLENOL do supervisor João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</si>
</sst>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Dot">
        <color auto="1"/>
      </left>
      <right style="mediumDashDot">
        <color auto="1"/>
      </right>
      <top/>
      <bottom style="mediumDashDot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1" xfId="0" applyBorder="1" applyProtection="1">
      <protection locked="0"/>
    </xf>
    <xf numFmtId="0" fontId="5" fillId="4" borderId="1" xfId="0" applyFont="1" applyFill="1" applyBorder="1" applyAlignment="1">
      <alignment horizontal="center"/>
    </xf>
    <xf numFmtId="44" fontId="0" fillId="0" borderId="1" xfId="0" applyNumberFormat="1" applyBorder="1"/>
    <xf numFmtId="0" fontId="2" fillId="4" borderId="1" xfId="0" applyFont="1" applyFill="1" applyBorder="1" applyAlignment="1">
      <alignment horizontal="center"/>
    </xf>
    <xf numFmtId="0" fontId="6" fillId="0" borderId="0" xfId="0" applyFont="1"/>
    <xf numFmtId="0" fontId="2" fillId="2" borderId="2" xfId="0" applyFont="1" applyFill="1" applyBorder="1" applyProtection="1">
      <protection locked="0"/>
    </xf>
    <xf numFmtId="0" fontId="0" fillId="3" borderId="3" xfId="0" applyFill="1" applyBorder="1"/>
    <xf numFmtId="0" fontId="2" fillId="2" borderId="2" xfId="0" applyFont="1" applyFill="1" applyBorder="1"/>
    <xf numFmtId="0" fontId="2" fillId="2" borderId="2" xfId="0" applyFont="1" applyFill="1" applyBorder="1" applyAlignment="1" applyProtection="1">
      <alignment horizontal="right"/>
      <protection locked="0"/>
    </xf>
    <xf numFmtId="0" fontId="5" fillId="7" borderId="1" xfId="0" applyFont="1" applyFill="1" applyBorder="1" applyAlignment="1">
      <alignment horizontal="center"/>
    </xf>
    <xf numFmtId="164" fontId="0" fillId="0" borderId="0" xfId="0" applyNumberFormat="1"/>
    <xf numFmtId="44" fontId="0" fillId="0" borderId="1" xfId="1" applyFont="1" applyBorder="1" applyAlignment="1"/>
    <xf numFmtId="44" fontId="0" fillId="0" borderId="1" xfId="1" applyFont="1" applyBorder="1" applyAlignment="1" applyProtection="1">
      <protection locked="0"/>
    </xf>
    <xf numFmtId="44" fontId="0" fillId="0" borderId="1" xfId="1" applyFont="1" applyBorder="1"/>
    <xf numFmtId="44" fontId="0" fillId="0" borderId="0" xfId="1" applyFont="1"/>
    <xf numFmtId="0" fontId="0" fillId="9" borderId="1" xfId="0" applyFill="1" applyBorder="1"/>
    <xf numFmtId="44" fontId="0" fillId="9" borderId="1" xfId="1" applyFont="1" applyFill="1" applyBorder="1"/>
    <xf numFmtId="0" fontId="0" fillId="10" borderId="1" xfId="0" applyFill="1" applyBorder="1"/>
    <xf numFmtId="44" fontId="0" fillId="10" borderId="1" xfId="1" applyFont="1" applyFill="1" applyBorder="1"/>
    <xf numFmtId="44" fontId="2" fillId="0" borderId="1" xfId="1" applyFont="1" applyBorder="1"/>
    <xf numFmtId="0" fontId="0" fillId="10" borderId="0" xfId="0" applyFill="1"/>
    <xf numFmtId="44" fontId="5" fillId="7" borderId="1" xfId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3" fillId="9" borderId="1" xfId="0" applyFont="1" applyFill="1" applyBorder="1"/>
    <xf numFmtId="44" fontId="0" fillId="0" borderId="1" xfId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9" fontId="0" fillId="9" borderId="1" xfId="3" applyFont="1" applyFill="1" applyBorder="1" applyAlignment="1">
      <alignment horizontal="center"/>
    </xf>
    <xf numFmtId="165" fontId="0" fillId="0" borderId="1" xfId="2" applyNumberFormat="1" applyFont="1" applyBorder="1"/>
    <xf numFmtId="0" fontId="3" fillId="0" borderId="0" xfId="0" applyFont="1"/>
    <xf numFmtId="0" fontId="2" fillId="15" borderId="2" xfId="0" applyFont="1" applyFill="1" applyBorder="1"/>
    <xf numFmtId="0" fontId="5" fillId="13" borderId="2" xfId="0" applyFont="1" applyFill="1" applyBorder="1" applyProtection="1">
      <protection locked="0"/>
    </xf>
    <xf numFmtId="0" fontId="5" fillId="13" borderId="2" xfId="0" applyFont="1" applyFill="1" applyBorder="1" applyAlignment="1" applyProtection="1">
      <alignment horizontal="right"/>
      <protection locked="0"/>
    </xf>
    <xf numFmtId="0" fontId="9" fillId="0" borderId="0" xfId="0" applyFont="1"/>
    <xf numFmtId="0" fontId="2" fillId="11" borderId="1" xfId="0" applyFont="1" applyFill="1" applyBorder="1"/>
    <xf numFmtId="44" fontId="11" fillId="0" borderId="1" xfId="1" applyFont="1" applyBorder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 applyProtection="1">
      <alignment horizontal="center"/>
      <protection locked="0"/>
    </xf>
    <xf numFmtId="44" fontId="4" fillId="5" borderId="0" xfId="1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0" fillId="0" borderId="0" xfId="0" applyProtection="1">
      <protection locked="0"/>
    </xf>
    <xf numFmtId="44" fontId="0" fillId="0" borderId="0" xfId="1" applyFont="1" applyBorder="1" applyProtection="1">
      <protection locked="0"/>
    </xf>
    <xf numFmtId="44" fontId="3" fillId="0" borderId="0" xfId="1" applyFont="1" applyFill="1" applyBorder="1"/>
    <xf numFmtId="14" fontId="0" fillId="0" borderId="0" xfId="0" applyNumberFormat="1" applyProtection="1">
      <protection locked="0"/>
    </xf>
    <xf numFmtId="44" fontId="0" fillId="0" borderId="0" xfId="1" applyFont="1" applyBorder="1"/>
    <xf numFmtId="0" fontId="2" fillId="11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9" fillId="4" borderId="1" xfId="0" applyFont="1" applyFill="1" applyBorder="1" applyAlignment="1">
      <alignment horizontal="center"/>
    </xf>
    <xf numFmtId="14" fontId="0" fillId="0" borderId="0" xfId="0" quotePrefix="1" applyNumberFormat="1" applyProtection="1">
      <protection locked="0"/>
    </xf>
    <xf numFmtId="0" fontId="12" fillId="0" borderId="0" xfId="0" applyFont="1" applyProtection="1">
      <protection locked="0"/>
    </xf>
    <xf numFmtId="0" fontId="4" fillId="16" borderId="1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44" fontId="9" fillId="0" borderId="1" xfId="1" applyFont="1" applyBorder="1"/>
    <xf numFmtId="0" fontId="2" fillId="9" borderId="1" xfId="0" applyFont="1" applyFill="1" applyBorder="1"/>
    <xf numFmtId="0" fontId="13" fillId="0" borderId="0" xfId="0" applyFont="1"/>
    <xf numFmtId="0" fontId="0" fillId="0" borderId="6" xfId="0" applyBorder="1"/>
    <xf numFmtId="44" fontId="4" fillId="17" borderId="0" xfId="1" applyFont="1" applyFill="1" applyBorder="1" applyAlignment="1">
      <alignment horizontal="center"/>
    </xf>
    <xf numFmtId="44" fontId="0" fillId="0" borderId="0" xfId="0" applyNumberFormat="1"/>
    <xf numFmtId="0" fontId="0" fillId="0" borderId="0" xfId="0" applyAlignment="1">
      <alignment horizontal="right"/>
    </xf>
    <xf numFmtId="0" fontId="0" fillId="0" borderId="10" xfId="0" applyBorder="1"/>
    <xf numFmtId="44" fontId="0" fillId="0" borderId="11" xfId="1" applyFont="1" applyBorder="1"/>
    <xf numFmtId="0" fontId="0" fillId="0" borderId="12" xfId="0" applyBorder="1"/>
    <xf numFmtId="44" fontId="0" fillId="0" borderId="13" xfId="1" applyFont="1" applyBorder="1"/>
    <xf numFmtId="0" fontId="2" fillId="20" borderId="8" xfId="0" applyFont="1" applyFill="1" applyBorder="1" applyAlignment="1">
      <alignment horizontal="center"/>
    </xf>
    <xf numFmtId="0" fontId="2" fillId="20" borderId="9" xfId="0" applyFont="1" applyFill="1" applyBorder="1" applyAlignment="1">
      <alignment horizontal="center"/>
    </xf>
    <xf numFmtId="44" fontId="0" fillId="3" borderId="0" xfId="0" applyNumberFormat="1" applyFill="1"/>
    <xf numFmtId="0" fontId="2" fillId="0" borderId="9" xfId="0" applyFont="1" applyBorder="1"/>
    <xf numFmtId="44" fontId="0" fillId="3" borderId="13" xfId="1" applyFont="1" applyFill="1" applyBorder="1" applyAlignment="1"/>
    <xf numFmtId="0" fontId="5" fillId="7" borderId="0" xfId="0" applyFont="1" applyFill="1" applyAlignment="1">
      <alignment horizontal="center" wrapText="1"/>
    </xf>
    <xf numFmtId="14" fontId="4" fillId="5" borderId="0" xfId="0" applyNumberFormat="1" applyFont="1" applyFill="1" applyAlignment="1">
      <alignment horizontal="center"/>
    </xf>
    <xf numFmtId="14" fontId="0" fillId="0" borderId="0" xfId="0" applyNumberFormat="1"/>
    <xf numFmtId="2" fontId="3" fillId="9" borderId="1" xfId="0" applyNumberFormat="1" applyFont="1" applyFill="1" applyBorder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4" fillId="0" borderId="0" xfId="0" applyFont="1" applyAlignment="1">
      <alignment horizontal="center"/>
    </xf>
    <xf numFmtId="9" fontId="0" fillId="0" borderId="0" xfId="3" applyNumberFormat="1" applyFont="1" applyAlignment="1">
      <alignment horizontal="right"/>
    </xf>
    <xf numFmtId="9" fontId="0" fillId="0" borderId="0" xfId="3" applyFont="1"/>
    <xf numFmtId="0" fontId="0" fillId="0" borderId="1" xfId="0" applyBorder="1" applyAlignment="1">
      <alignment horizontal="left"/>
    </xf>
    <xf numFmtId="0" fontId="0" fillId="3" borderId="3" xfId="0" applyFill="1" applyBorder="1" applyAlignment="1">
      <alignment horizontal="right"/>
    </xf>
    <xf numFmtId="1" fontId="0" fillId="3" borderId="3" xfId="2" applyNumberFormat="1" applyFont="1" applyFill="1" applyBorder="1"/>
    <xf numFmtId="1" fontId="0" fillId="3" borderId="3" xfId="0" applyNumberFormat="1" applyFill="1" applyBorder="1"/>
    <xf numFmtId="0" fontId="2" fillId="11" borderId="0" xfId="0" applyFont="1" applyFill="1" applyAlignment="1">
      <alignment horizontal="center"/>
    </xf>
    <xf numFmtId="0" fontId="2" fillId="18" borderId="7" xfId="0" applyFont="1" applyFill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10" fillId="14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9" borderId="1" xfId="0" applyFill="1" applyBorder="1" applyProtection="1">
      <protection locked="0"/>
    </xf>
    <xf numFmtId="0" fontId="0" fillId="0" borderId="0" xfId="0" applyBorder="1" applyAlignment="1">
      <alignment horizontal="center"/>
    </xf>
    <xf numFmtId="0" fontId="0" fillId="0" borderId="0" xfId="0" applyBorder="1"/>
    <xf numFmtId="44" fontId="0" fillId="3" borderId="1" xfId="0" applyNumberFormat="1" applyFill="1" applyBorder="1"/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colors>
    <mruColors>
      <color rgb="FF006600"/>
      <color rgb="FF0033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77932</xdr:colOff>
      <xdr:row>0</xdr:row>
      <xdr:rowOff>1</xdr:rowOff>
    </xdr:from>
    <xdr:ext cx="4416136" cy="333374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338455" y="1"/>
          <a:ext cx="4416136" cy="33337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FÓRMULAS DE DATAS</a:t>
          </a:r>
        </a:p>
      </xdr:txBody>
    </xdr:sp>
    <xdr:clientData/>
  </xdr:oneCellAnchor>
  <xdr:oneCellAnchor>
    <xdr:from>
      <xdr:col>10</xdr:col>
      <xdr:colOff>133350</xdr:colOff>
      <xdr:row>0</xdr:row>
      <xdr:rowOff>1</xdr:rowOff>
    </xdr:from>
    <xdr:ext cx="5648325" cy="342900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458325" y="1"/>
          <a:ext cx="5648325" cy="3429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PROCV - VLOOKUP</a:t>
          </a:r>
          <a:endParaRPr lang="pt-BR" sz="24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oneCellAnchor>
  <xdr:oneCellAnchor>
    <xdr:from>
      <xdr:col>16</xdr:col>
      <xdr:colOff>57150</xdr:colOff>
      <xdr:row>0</xdr:row>
      <xdr:rowOff>0</xdr:rowOff>
    </xdr:from>
    <xdr:ext cx="4314825" cy="295275"/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5201900" y="0"/>
          <a:ext cx="4314825" cy="2952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SE - IF</a:t>
          </a:r>
        </a:p>
      </xdr:txBody>
    </xdr:sp>
    <xdr:clientData/>
  </xdr:oneCellAnchor>
  <xdr:oneCellAnchor>
    <xdr:from>
      <xdr:col>21</xdr:col>
      <xdr:colOff>180975</xdr:colOff>
      <xdr:row>0</xdr:row>
      <xdr:rowOff>0</xdr:rowOff>
    </xdr:from>
    <xdr:ext cx="1304925" cy="495300"/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735800" y="0"/>
          <a:ext cx="1304925" cy="4953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SE + E</a:t>
          </a:r>
        </a:p>
        <a:p>
          <a:pPr algn="ctr"/>
          <a:r>
            <a:rPr lang="pt-BR" sz="1600" b="0" i="1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IF + AND</a:t>
          </a:r>
        </a:p>
      </xdr:txBody>
    </xdr:sp>
    <xdr:clientData/>
  </xdr:oneCellAnchor>
  <xdr:oneCellAnchor>
    <xdr:from>
      <xdr:col>21</xdr:col>
      <xdr:colOff>1762125</xdr:colOff>
      <xdr:row>0</xdr:row>
      <xdr:rowOff>0</xdr:rowOff>
    </xdr:from>
    <xdr:ext cx="1781175" cy="495300"/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2745700" y="0"/>
          <a:ext cx="1781175" cy="4953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4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PROCV</a:t>
          </a:r>
          <a:r>
            <a:rPr lang="pt-BR" sz="1400" b="0" cap="none" spc="0" baseline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 VERDADEIRO</a:t>
          </a:r>
        </a:p>
        <a:p>
          <a:pPr algn="ctr"/>
          <a:r>
            <a:rPr lang="pt-BR" sz="1200" b="0" i="1" cap="none" spc="0" baseline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VLOOKUP - TRUE</a:t>
          </a:r>
          <a:endParaRPr lang="pt-BR" sz="1200" b="0" i="1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oneCellAnchor>
  <xdr:oneCellAnchor>
    <xdr:from>
      <xdr:col>20</xdr:col>
      <xdr:colOff>742950</xdr:colOff>
      <xdr:row>0</xdr:row>
      <xdr:rowOff>0</xdr:rowOff>
    </xdr:from>
    <xdr:ext cx="1219200" cy="495300"/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1726525" y="0"/>
          <a:ext cx="1219200" cy="4953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6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SE +</a:t>
          </a:r>
          <a:r>
            <a:rPr lang="pt-BR" sz="1600" b="0" cap="none" spc="0" baseline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 PROCV </a:t>
          </a:r>
          <a:r>
            <a:rPr lang="pt-BR" sz="1400" b="0" i="1" cap="none" spc="0" baseline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IF + VLOOKUP</a:t>
          </a:r>
          <a:endParaRPr lang="pt-BR" sz="1600" b="0" i="1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312965</xdr:colOff>
      <xdr:row>0</xdr:row>
      <xdr:rowOff>74840</xdr:rowOff>
    </xdr:from>
    <xdr:to>
      <xdr:col>3</xdr:col>
      <xdr:colOff>137167</xdr:colOff>
      <xdr:row>2</xdr:row>
      <xdr:rowOff>149679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036" y="74840"/>
          <a:ext cx="2293899" cy="455839"/>
        </a:xfrm>
        <a:prstGeom prst="rect">
          <a:avLst/>
        </a:prstGeom>
      </xdr:spPr>
    </xdr:pic>
    <xdr:clientData/>
  </xdr:twoCellAnchor>
  <xdr:oneCellAnchor>
    <xdr:from>
      <xdr:col>0</xdr:col>
      <xdr:colOff>877661</xdr:colOff>
      <xdr:row>3</xdr:row>
      <xdr:rowOff>1</xdr:rowOff>
    </xdr:from>
    <xdr:ext cx="3048000" cy="415017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77661" y="571501"/>
          <a:ext cx="3048000" cy="41501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000" b="0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Fórmulas Básicas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12</xdr:row>
      <xdr:rowOff>85726</xdr:rowOff>
    </xdr:from>
    <xdr:to>
      <xdr:col>6</xdr:col>
      <xdr:colOff>257175</xdr:colOff>
      <xdr:row>15</xdr:row>
      <xdr:rowOff>49885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2371726"/>
          <a:ext cx="2695575" cy="535659"/>
        </a:xfrm>
        <a:prstGeom prst="rect">
          <a:avLst/>
        </a:prstGeom>
      </xdr:spPr>
    </xdr:pic>
    <xdr:clientData/>
  </xdr:twoCellAnchor>
  <xdr:oneCellAnchor>
    <xdr:from>
      <xdr:col>2</xdr:col>
      <xdr:colOff>857250</xdr:colOff>
      <xdr:row>15</xdr:row>
      <xdr:rowOff>39461</xdr:rowOff>
    </xdr:from>
    <xdr:ext cx="3829050" cy="722539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828925" y="2896961"/>
          <a:ext cx="3829050" cy="7225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3600" b="0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PROCV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8</xdr:row>
      <xdr:rowOff>85725</xdr:rowOff>
    </xdr:from>
    <xdr:to>
      <xdr:col>2</xdr:col>
      <xdr:colOff>19050</xdr:colOff>
      <xdr:row>16</xdr:row>
      <xdr:rowOff>180975</xdr:rowOff>
    </xdr:to>
    <xdr:sp macro="" textlink="">
      <xdr:nvSpPr>
        <xdr:cNvPr id="3" name="Retângulo de cantos arredondados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00100" y="3133725"/>
          <a:ext cx="1743075" cy="1619250"/>
        </a:xfrm>
        <a:prstGeom prst="roundRect">
          <a:avLst/>
        </a:prstGeom>
        <a:blipFill>
          <a:blip xmlns:r="http://schemas.openxmlformats.org/officeDocument/2006/relationships" r:embed="rId1" cstate="print"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9</xdr:col>
      <xdr:colOff>228601</xdr:colOff>
      <xdr:row>0</xdr:row>
      <xdr:rowOff>114300</xdr:rowOff>
    </xdr:from>
    <xdr:to>
      <xdr:col>14</xdr:col>
      <xdr:colOff>114300</xdr:colOff>
      <xdr:row>14</xdr:row>
      <xdr:rowOff>28575</xdr:rowOff>
    </xdr:to>
    <xdr:sp macro="" textlink="">
      <xdr:nvSpPr>
        <xdr:cNvPr id="4" name="Retângulo de cantos arredondados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43926" y="114300"/>
          <a:ext cx="2933699" cy="2581275"/>
        </a:xfrm>
        <a:prstGeom prst="roundRect">
          <a:avLst/>
        </a:prstGeom>
        <a:blipFill>
          <a:blip xmlns:r="http://schemas.openxmlformats.org/officeDocument/2006/relationships" r:embed="rId2" cstate="print"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oneCellAnchor>
    <xdr:from>
      <xdr:col>0</xdr:col>
      <xdr:colOff>0</xdr:colOff>
      <xdr:row>6</xdr:row>
      <xdr:rowOff>19589</xdr:rowOff>
    </xdr:from>
    <xdr:ext cx="3360151" cy="468013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0" y="2686589"/>
          <a:ext cx="3360151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pt-BR" sz="24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</a:rPr>
            <a:t>carrinho de compras</a:t>
          </a:r>
        </a:p>
      </xdr:txBody>
    </xdr:sp>
    <xdr:clientData/>
  </xdr:oneCellAnchor>
  <xdr:oneCellAnchor>
    <xdr:from>
      <xdr:col>9</xdr:col>
      <xdr:colOff>99765</xdr:colOff>
      <xdr:row>13</xdr:row>
      <xdr:rowOff>86264</xdr:rowOff>
    </xdr:from>
    <xdr:ext cx="3248518" cy="1219436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415090" y="2562764"/>
          <a:ext cx="3248518" cy="121943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3600" b="1" cap="none" spc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Banco de Dados</a:t>
          </a:r>
        </a:p>
        <a:p>
          <a:pPr algn="ctr"/>
          <a:r>
            <a:rPr lang="pt-BR" sz="3600" b="1" cap="none" spc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Supermercado</a:t>
          </a:r>
        </a:p>
      </xdr:txBody>
    </xdr:sp>
    <xdr:clientData/>
  </xdr:oneCellAnchor>
  <xdr:twoCellAnchor>
    <xdr:from>
      <xdr:col>5</xdr:col>
      <xdr:colOff>190500</xdr:colOff>
      <xdr:row>5</xdr:row>
      <xdr:rowOff>95250</xdr:rowOff>
    </xdr:from>
    <xdr:to>
      <xdr:col>5</xdr:col>
      <xdr:colOff>790575</xdr:colOff>
      <xdr:row>5</xdr:row>
      <xdr:rowOff>95250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4743450" y="1047750"/>
          <a:ext cx="600075" cy="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323021</xdr:colOff>
      <xdr:row>1</xdr:row>
      <xdr:rowOff>132225</xdr:rowOff>
    </xdr:from>
    <xdr:ext cx="6361043" cy="538666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23021" y="322725"/>
          <a:ext cx="6361043" cy="538666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">
              <a:rot lat="0" lon="0" rev="18900000"/>
            </a:lightRig>
          </a:scene3d>
          <a:sp3d extrusionH="31750" contourW="6350" prstMaterial="powder">
            <a:bevelT w="19050" h="19050" prst="angle"/>
            <a:contourClr>
              <a:schemeClr val="accent3">
                <a:tint val="100000"/>
                <a:shade val="100000"/>
                <a:satMod val="100000"/>
                <a:hueMod val="100000"/>
              </a:schemeClr>
            </a:contourClr>
          </a:sp3d>
        </a:bodyPr>
        <a:lstStyle/>
        <a:p>
          <a:pPr algn="ctr"/>
          <a:r>
            <a:rPr lang="pt-BR" sz="3600" b="1" cap="none" spc="0">
              <a:ln/>
              <a:solidFill>
                <a:srgbClr val="006600"/>
              </a:solidFill>
              <a:effectLst/>
            </a:rPr>
            <a:t>Contar</a:t>
          </a:r>
          <a:r>
            <a:rPr lang="pt-BR" sz="3600" b="1" cap="none" spc="0" baseline="0">
              <a:ln/>
              <a:solidFill>
                <a:srgbClr val="006600"/>
              </a:solidFill>
              <a:effectLst/>
            </a:rPr>
            <a:t> e Somar com Condições</a:t>
          </a:r>
          <a:endParaRPr lang="pt-BR" sz="3600" b="1" cap="none" spc="0">
            <a:ln/>
            <a:solidFill>
              <a:srgbClr val="006600"/>
            </a:solidFill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0</xdr:row>
      <xdr:rowOff>28575</xdr:rowOff>
    </xdr:from>
    <xdr:to>
      <xdr:col>3</xdr:col>
      <xdr:colOff>581025</xdr:colOff>
      <xdr:row>1</xdr:row>
      <xdr:rowOff>76200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028700" y="28575"/>
          <a:ext cx="26384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rgbClr val="FF0000"/>
              </a:solidFill>
            </a:rPr>
            <a:t>&lt;&lt; COLE A COLUNA DAS REGIÕES AQUI!</a:t>
          </a:r>
        </a:p>
      </xdr:txBody>
    </xdr:sp>
    <xdr:clientData/>
  </xdr:twoCellAnchor>
  <xdr:twoCellAnchor>
    <xdr:from>
      <xdr:col>8</xdr:col>
      <xdr:colOff>38100</xdr:colOff>
      <xdr:row>0</xdr:row>
      <xdr:rowOff>0</xdr:rowOff>
    </xdr:from>
    <xdr:to>
      <xdr:col>12</xdr:col>
      <xdr:colOff>409575</xdr:colOff>
      <xdr:row>1</xdr:row>
      <xdr:rowOff>47625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8439150" y="0"/>
          <a:ext cx="280987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rgbClr val="FF0000"/>
              </a:solidFill>
            </a:rPr>
            <a:t>&lt;&lt; COLE A COLUNA DOS PRODUTOS AQUI!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rgb="FF33CC33"/>
  </sheetPr>
  <dimension ref="A1:AF93"/>
  <sheetViews>
    <sheetView zoomScaleNormal="115" zoomScaleSheetLayoutView="70" zoomScalePageLayoutView="95" workbookViewId="0">
      <selection activeCell="K15" sqref="K15"/>
    </sheetView>
  </sheetViews>
  <sheetFormatPr defaultColWidth="9.140625" defaultRowHeight="15" x14ac:dyDescent="0.25"/>
  <cols>
    <col min="1" max="1" width="12.7109375" bestFit="1" customWidth="1"/>
    <col min="2" max="2" width="14.42578125" bestFit="1" customWidth="1"/>
    <col min="3" max="3" width="10" bestFit="1" customWidth="1"/>
    <col min="4" max="4" width="19.5703125" bestFit="1" customWidth="1"/>
    <col min="5" max="5" width="20.28515625" bestFit="1" customWidth="1"/>
    <col min="6" max="6" width="16.85546875" style="77" customWidth="1"/>
    <col min="7" max="7" width="21" customWidth="1"/>
    <col min="8" max="8" width="15.5703125" bestFit="1" customWidth="1"/>
    <col min="9" max="9" width="21.28515625" customWidth="1"/>
    <col min="10" max="10" width="18.5703125" bestFit="1" customWidth="1"/>
    <col min="11" max="11" width="14.85546875" bestFit="1" customWidth="1"/>
    <col min="12" max="12" width="13" bestFit="1" customWidth="1"/>
    <col min="13" max="13" width="15" bestFit="1" customWidth="1"/>
    <col min="14" max="14" width="14" bestFit="1" customWidth="1"/>
    <col min="15" max="15" width="20.140625" bestFit="1" customWidth="1"/>
    <col min="16" max="16" width="10.28515625" bestFit="1" customWidth="1"/>
    <col min="17" max="17" width="26.42578125" bestFit="1" customWidth="1"/>
    <col min="18" max="18" width="39.7109375" bestFit="1" customWidth="1"/>
    <col min="19" max="19" width="33.7109375" customWidth="1"/>
    <col min="20" max="20" width="35.42578125" customWidth="1"/>
    <col min="21" max="21" width="39.7109375" style="49" customWidth="1"/>
    <col min="22" max="22" width="27" customWidth="1"/>
    <col min="23" max="24" width="25.5703125" customWidth="1"/>
    <col min="25" max="25" width="21.42578125" customWidth="1"/>
    <col min="27" max="27" width="24.85546875" customWidth="1"/>
    <col min="28" max="28" width="15" customWidth="1"/>
    <col min="30" max="30" width="8.140625" customWidth="1"/>
    <col min="32" max="32" width="17.140625" customWidth="1"/>
  </cols>
  <sheetData>
    <row r="1" spans="1:32" ht="57.75" customHeight="1" x14ac:dyDescent="0.25">
      <c r="A1" s="38" t="s">
        <v>270</v>
      </c>
      <c r="B1" s="38" t="s">
        <v>1</v>
      </c>
      <c r="C1" s="39" t="s">
        <v>7</v>
      </c>
      <c r="D1" s="40" t="s">
        <v>25</v>
      </c>
      <c r="E1" s="40" t="s">
        <v>8</v>
      </c>
      <c r="F1" s="76" t="s">
        <v>28</v>
      </c>
      <c r="G1" s="41" t="s">
        <v>236</v>
      </c>
      <c r="H1" s="41" t="s">
        <v>237</v>
      </c>
      <c r="I1" s="41" t="s">
        <v>29</v>
      </c>
      <c r="J1" s="41" t="s">
        <v>30</v>
      </c>
      <c r="K1" s="42" t="s">
        <v>9</v>
      </c>
      <c r="L1" s="42" t="s">
        <v>14</v>
      </c>
      <c r="M1" s="42" t="s">
        <v>18</v>
      </c>
      <c r="N1" s="42" t="s">
        <v>37</v>
      </c>
      <c r="O1" s="42" t="s">
        <v>257</v>
      </c>
      <c r="P1" s="42" t="s">
        <v>45</v>
      </c>
      <c r="Q1" s="43" t="s">
        <v>46</v>
      </c>
      <c r="R1" s="43" t="s">
        <v>47</v>
      </c>
      <c r="S1" s="75" t="s">
        <v>268</v>
      </c>
      <c r="T1" s="75" t="s">
        <v>269</v>
      </c>
      <c r="U1" s="63" t="s">
        <v>251</v>
      </c>
      <c r="V1" s="58" t="s">
        <v>252</v>
      </c>
      <c r="W1" s="44" t="s">
        <v>253</v>
      </c>
      <c r="X1" s="44" t="s">
        <v>254</v>
      </c>
    </row>
    <row r="2" spans="1:32" x14ac:dyDescent="0.25">
      <c r="A2" s="45" t="s">
        <v>6</v>
      </c>
      <c r="B2" s="45" t="s">
        <v>5</v>
      </c>
      <c r="C2" s="45">
        <v>500</v>
      </c>
      <c r="D2" s="46">
        <v>1.5</v>
      </c>
      <c r="E2" s="47">
        <f t="shared" ref="E2:E33" si="0">C2*D2</f>
        <v>750</v>
      </c>
      <c r="F2" s="48">
        <v>40975</v>
      </c>
      <c r="G2" s="79" t="str">
        <f>TEXT(F2,"mmmm")</f>
        <v>março</v>
      </c>
      <c r="H2">
        <f>YEAR(F2)</f>
        <v>2012</v>
      </c>
      <c r="I2" s="81" t="str">
        <f>G2&amp;"/"&amp;H2</f>
        <v>março/2012</v>
      </c>
      <c r="J2" s="80" t="str">
        <f>TEXT(F2,"dddd")</f>
        <v>quarta-feira</v>
      </c>
      <c r="K2" t="str">
        <f>VLOOKUP(A2,RELACIONAMENTOS!A:C,2,0)</f>
        <v>ATOTAL</v>
      </c>
      <c r="L2" t="str">
        <f>VLOOKUP(A2,RELACIONAMENTOS!A:C,3,0)</f>
        <v>Simone</v>
      </c>
      <c r="M2" t="str">
        <f>VLOOKUP(B2,RELACIONAMENTOS!E:F,2,0)</f>
        <v>João</v>
      </c>
      <c r="N2" t="str">
        <f>VLOOKUP(B2,RELACIONAMENTOS!H:I,2,0)</f>
        <v>Daniel</v>
      </c>
      <c r="O2">
        <f>VLOOKUP(A2,RELACIONAMENTOS!K:L,2,0)</f>
        <v>78912345678</v>
      </c>
      <c r="P2">
        <f>VLOOKUP(B2,RELACIONAMENTOS!N:O,2,0)</f>
        <v>90</v>
      </c>
      <c r="Q2" s="82" t="str">
        <f>IF(E2&gt;500,"Meta atingida","Não atingida")</f>
        <v>Meta atingida</v>
      </c>
      <c r="R2" s="80" t="str">
        <f>IF(C2&gt;300,"Meta atingida","Não atingida")</f>
        <v>Meta atingida</v>
      </c>
      <c r="S2" t="str">
        <f>IF(OR(Q2="Meta atingida",R2="Meta atingida"), "Sim","Não")</f>
        <v>Sim</v>
      </c>
      <c r="T2" t="str">
        <f>IF(AND(Q2="Meta atingida",R2="Meta atingida"), "Sim","Não")</f>
        <v>Sim</v>
      </c>
      <c r="U2" s="80">
        <f>IF(E2&gt;=500,0,VLOOKUP(B2,RELACIONAMENTOS!N:O,2,0))</f>
        <v>0</v>
      </c>
      <c r="V2" s="83">
        <f>IF(E2&lt;=200,1%,IF(E2&lt;=400,2%,IF(E2&lt;=600,3%,IF(E2&lt;=800,4%,IF(E2&lt;=1000,5%,IF(E2&lt;=1800,10%,15%))))))</f>
        <v>0.04</v>
      </c>
      <c r="W2" s="84">
        <f>VLOOKUP(E2,RELACIONAMENTOS!$Q$1:$S$11,3,1)</f>
        <v>0.04</v>
      </c>
      <c r="Z2" s="89" t="s">
        <v>208</v>
      </c>
      <c r="AA2" s="89"/>
      <c r="AB2" s="50" t="s">
        <v>40</v>
      </c>
      <c r="AD2" s="90" t="s">
        <v>239</v>
      </c>
      <c r="AE2" s="90"/>
      <c r="AF2" s="90"/>
    </row>
    <row r="3" spans="1:32" ht="18.75" x14ac:dyDescent="0.25">
      <c r="A3" s="45" t="s">
        <v>6</v>
      </c>
      <c r="B3" s="45" t="s">
        <v>5</v>
      </c>
      <c r="C3" s="45">
        <v>20</v>
      </c>
      <c r="D3" s="46">
        <v>3</v>
      </c>
      <c r="E3" s="47">
        <f t="shared" si="0"/>
        <v>60</v>
      </c>
      <c r="F3" s="48">
        <v>40974</v>
      </c>
      <c r="G3" s="79" t="str">
        <f t="shared" ref="G3:G66" si="1">TEXT(F3,"mmmm")</f>
        <v>março</v>
      </c>
      <c r="H3">
        <f t="shared" ref="H3:H66" si="2">YEAR(F3)</f>
        <v>2012</v>
      </c>
      <c r="I3" s="81" t="str">
        <f t="shared" ref="I3:I66" si="3">G3&amp;"/"&amp;H3</f>
        <v>março/2012</v>
      </c>
      <c r="J3" s="80" t="str">
        <f t="shared" ref="J3:J66" si="4">TEXT(F3,"dddd")</f>
        <v>terça-feira</v>
      </c>
      <c r="K3" t="str">
        <f>VLOOKUP(A3,RELACIONAMENTOS!A:C,2,0)</f>
        <v>ATOTAL</v>
      </c>
      <c r="L3" t="str">
        <f>VLOOKUP(A3,RELACIONAMENTOS!A:C,3,0)</f>
        <v>Simone</v>
      </c>
      <c r="M3" t="str">
        <f>VLOOKUP(B3,RELACIONAMENTOS!E:F,2,0)</f>
        <v>João</v>
      </c>
      <c r="N3" t="str">
        <f>VLOOKUP(B3,RELACIONAMENTOS!H:I,2,0)</f>
        <v>Daniel</v>
      </c>
      <c r="O3">
        <f>VLOOKUP(A3,RELACIONAMENTOS!K:L,2,0)</f>
        <v>78912345678</v>
      </c>
      <c r="P3">
        <f>VLOOKUP(B3,RELACIONAMENTOS!N:O,2,0)</f>
        <v>90</v>
      </c>
      <c r="Q3" s="82" t="str">
        <f t="shared" ref="Q3:Q66" si="5">IF(E3&gt;500,"Meta atingida","Não atingida")</f>
        <v>Não atingida</v>
      </c>
      <c r="R3" s="80" t="str">
        <f t="shared" ref="R3:R66" si="6">IF(C3&gt;300,"Meta atingida","Não atingida")</f>
        <v>Não atingida</v>
      </c>
      <c r="S3" t="str">
        <f t="shared" ref="S3:S66" si="7">IF(OR(Q3="Meta atingida",R3="Meta atingida"), "Sim","Não")</f>
        <v>Não</v>
      </c>
      <c r="T3" t="str">
        <f t="shared" ref="T3:T66" si="8">IF(AND(Q3="Meta atingida",R3="Meta atingida"), "Sim","Não")</f>
        <v>Não</v>
      </c>
      <c r="U3" s="80">
        <f>IF(E3&gt;=500,0,VLOOKUP(B3,RELACIONAMENTOS!N:O,2,0))</f>
        <v>90</v>
      </c>
      <c r="V3" s="83">
        <f t="shared" ref="V3:V66" si="9">IF(E3&lt;=200,1%,IF(E3&lt;=400,2%,IF(E3&lt;=600,3%,IF(E3&lt;=800,4%,IF(E3&lt;=1000,5%,IF(E3&lt;=1800,10%,15%))))))</f>
        <v>0.01</v>
      </c>
      <c r="W3" s="84">
        <f>VLOOKUP(E3,RELACIONAMENTOS!$Q$1:$S$11,3,1)</f>
        <v>0.01</v>
      </c>
      <c r="Z3" s="51" t="s">
        <v>197</v>
      </c>
      <c r="AA3" s="52" t="s">
        <v>202</v>
      </c>
      <c r="AB3" s="53" t="b">
        <v>1</v>
      </c>
      <c r="AD3" s="18"/>
      <c r="AE3" s="18"/>
      <c r="AF3" s="60"/>
    </row>
    <row r="4" spans="1:32" ht="18.75" x14ac:dyDescent="0.25">
      <c r="A4" s="56" t="s">
        <v>6</v>
      </c>
      <c r="B4" s="45" t="s">
        <v>5</v>
      </c>
      <c r="C4" s="45">
        <v>20</v>
      </c>
      <c r="D4" s="46">
        <v>3</v>
      </c>
      <c r="E4" s="47">
        <f t="shared" si="0"/>
        <v>60</v>
      </c>
      <c r="F4" s="48">
        <v>40973</v>
      </c>
      <c r="G4" s="79" t="str">
        <f t="shared" si="1"/>
        <v>março</v>
      </c>
      <c r="H4">
        <f t="shared" si="2"/>
        <v>2012</v>
      </c>
      <c r="I4" s="81" t="str">
        <f t="shared" si="3"/>
        <v>março/2012</v>
      </c>
      <c r="J4" s="80" t="str">
        <f t="shared" si="4"/>
        <v>segunda-feira</v>
      </c>
      <c r="K4" t="str">
        <f>VLOOKUP(A4,RELACIONAMENTOS!A:C,2,0)</f>
        <v>ATOTAL</v>
      </c>
      <c r="L4" t="str">
        <f>VLOOKUP(A4,RELACIONAMENTOS!A:C,3,0)</f>
        <v>Simone</v>
      </c>
      <c r="M4" t="str">
        <f>VLOOKUP(B4,RELACIONAMENTOS!E:F,2,0)</f>
        <v>João</v>
      </c>
      <c r="N4" t="str">
        <f>VLOOKUP(B4,RELACIONAMENTOS!H:I,2,0)</f>
        <v>Daniel</v>
      </c>
      <c r="O4">
        <f>VLOOKUP(A4,RELACIONAMENTOS!K:L,2,0)</f>
        <v>78912345678</v>
      </c>
      <c r="P4">
        <f>VLOOKUP(B4,RELACIONAMENTOS!N:O,2,0)</f>
        <v>90</v>
      </c>
      <c r="Q4" s="82" t="str">
        <f t="shared" si="5"/>
        <v>Não atingida</v>
      </c>
      <c r="R4" s="80" t="str">
        <f t="shared" si="6"/>
        <v>Não atingida</v>
      </c>
      <c r="S4" t="str">
        <f t="shared" si="7"/>
        <v>Não</v>
      </c>
      <c r="T4" t="str">
        <f t="shared" si="8"/>
        <v>Não</v>
      </c>
      <c r="U4" s="80">
        <f>IF(E4&gt;=500,0,VLOOKUP(B4,RELACIONAMENTOS!N:O,2,0))</f>
        <v>90</v>
      </c>
      <c r="V4" s="83">
        <f t="shared" si="9"/>
        <v>0.01</v>
      </c>
      <c r="W4" s="84">
        <f>VLOOKUP(E4,RELACIONAMENTOS!$Q$1:$S$11,3,1)</f>
        <v>0.01</v>
      </c>
      <c r="Z4" s="51" t="s">
        <v>196</v>
      </c>
      <c r="AA4" s="52" t="s">
        <v>203</v>
      </c>
      <c r="AB4" s="53" t="b">
        <v>0</v>
      </c>
    </row>
    <row r="5" spans="1:32" ht="18.75" x14ac:dyDescent="0.25">
      <c r="A5" s="45" t="s">
        <v>6</v>
      </c>
      <c r="B5" s="45" t="s">
        <v>5</v>
      </c>
      <c r="C5" s="45">
        <v>10</v>
      </c>
      <c r="D5" s="46">
        <v>3</v>
      </c>
      <c r="E5" s="47">
        <f t="shared" si="0"/>
        <v>30</v>
      </c>
      <c r="F5" s="48">
        <v>40972</v>
      </c>
      <c r="G5" s="79" t="str">
        <f t="shared" si="1"/>
        <v>março</v>
      </c>
      <c r="H5">
        <f t="shared" si="2"/>
        <v>2012</v>
      </c>
      <c r="I5" s="81" t="str">
        <f t="shared" si="3"/>
        <v>março/2012</v>
      </c>
      <c r="J5" s="80" t="str">
        <f t="shared" si="4"/>
        <v>domingo</v>
      </c>
      <c r="K5" t="str">
        <f>VLOOKUP(A5,RELACIONAMENTOS!A:C,2,0)</f>
        <v>ATOTAL</v>
      </c>
      <c r="L5" t="str">
        <f>VLOOKUP(A5,RELACIONAMENTOS!A:C,3,0)</f>
        <v>Simone</v>
      </c>
      <c r="M5" t="str">
        <f>VLOOKUP(B5,RELACIONAMENTOS!E:F,2,0)</f>
        <v>João</v>
      </c>
      <c r="N5" t="str">
        <f>VLOOKUP(B5,RELACIONAMENTOS!H:I,2,0)</f>
        <v>Daniel</v>
      </c>
      <c r="O5">
        <f>VLOOKUP(A5,RELACIONAMENTOS!K:L,2,0)</f>
        <v>78912345678</v>
      </c>
      <c r="P5">
        <f>VLOOKUP(B5,RELACIONAMENTOS!N:O,2,0)</f>
        <v>90</v>
      </c>
      <c r="Q5" s="82" t="str">
        <f t="shared" si="5"/>
        <v>Não atingida</v>
      </c>
      <c r="R5" s="80" t="str">
        <f t="shared" si="6"/>
        <v>Não atingida</v>
      </c>
      <c r="S5" t="str">
        <f t="shared" si="7"/>
        <v>Não</v>
      </c>
      <c r="T5" t="str">
        <f t="shared" si="8"/>
        <v>Não</v>
      </c>
      <c r="U5" s="80">
        <f>IF(E5&gt;=500,0,VLOOKUP(B5,RELACIONAMENTOS!N:O,2,0))</f>
        <v>90</v>
      </c>
      <c r="V5" s="83">
        <f t="shared" si="9"/>
        <v>0.01</v>
      </c>
      <c r="W5" s="84">
        <f>VLOOKUP(E5,RELACIONAMENTOS!$Q$1:$S$11,3,1)</f>
        <v>0.01</v>
      </c>
      <c r="Z5" s="51" t="s">
        <v>198</v>
      </c>
      <c r="AA5" s="52" t="s">
        <v>204</v>
      </c>
      <c r="AB5" s="53" t="b">
        <v>0</v>
      </c>
    </row>
    <row r="6" spans="1:32" ht="18.75" x14ac:dyDescent="0.25">
      <c r="A6" s="45" t="s">
        <v>6</v>
      </c>
      <c r="B6" s="45" t="s">
        <v>5</v>
      </c>
      <c r="C6" s="45">
        <v>100</v>
      </c>
      <c r="D6" s="46">
        <v>1.5</v>
      </c>
      <c r="E6" s="47">
        <f t="shared" si="0"/>
        <v>150</v>
      </c>
      <c r="F6" s="48">
        <v>40971</v>
      </c>
      <c r="G6" s="79" t="str">
        <f t="shared" si="1"/>
        <v>março</v>
      </c>
      <c r="H6">
        <f t="shared" si="2"/>
        <v>2012</v>
      </c>
      <c r="I6" s="81" t="str">
        <f t="shared" si="3"/>
        <v>março/2012</v>
      </c>
      <c r="J6" s="80" t="str">
        <f t="shared" si="4"/>
        <v>sábado</v>
      </c>
      <c r="K6" t="str">
        <f>VLOOKUP(A6,RELACIONAMENTOS!A:C,2,0)</f>
        <v>ATOTAL</v>
      </c>
      <c r="L6" t="str">
        <f>VLOOKUP(A6,RELACIONAMENTOS!A:C,3,0)</f>
        <v>Simone</v>
      </c>
      <c r="M6" t="str">
        <f>VLOOKUP(B6,RELACIONAMENTOS!E:F,2,0)</f>
        <v>João</v>
      </c>
      <c r="N6" t="str">
        <f>VLOOKUP(B6,RELACIONAMENTOS!H:I,2,0)</f>
        <v>Daniel</v>
      </c>
      <c r="O6">
        <f>VLOOKUP(A6,RELACIONAMENTOS!K:L,2,0)</f>
        <v>78912345678</v>
      </c>
      <c r="P6">
        <f>VLOOKUP(B6,RELACIONAMENTOS!N:O,2,0)</f>
        <v>90</v>
      </c>
      <c r="Q6" s="82" t="str">
        <f t="shared" si="5"/>
        <v>Não atingida</v>
      </c>
      <c r="R6" s="80" t="str">
        <f t="shared" si="6"/>
        <v>Não atingida</v>
      </c>
      <c r="S6" t="str">
        <f t="shared" si="7"/>
        <v>Não</v>
      </c>
      <c r="T6" t="str">
        <f t="shared" si="8"/>
        <v>Não</v>
      </c>
      <c r="U6" s="80">
        <f>IF(E6&gt;=500,0,VLOOKUP(B6,RELACIONAMENTOS!N:O,2,0))</f>
        <v>90</v>
      </c>
      <c r="V6" s="83">
        <f t="shared" si="9"/>
        <v>0.01</v>
      </c>
      <c r="W6" s="84">
        <f>VLOOKUP(E6,RELACIONAMENTOS!$Q$1:$S$11,3,1)</f>
        <v>0.01</v>
      </c>
      <c r="Z6" s="51" t="s">
        <v>199</v>
      </c>
      <c r="AA6" s="52" t="s">
        <v>205</v>
      </c>
      <c r="AB6" s="53" t="b">
        <v>1</v>
      </c>
    </row>
    <row r="7" spans="1:32" ht="18.75" x14ac:dyDescent="0.25">
      <c r="A7" s="56" t="s">
        <v>6</v>
      </c>
      <c r="B7" s="45" t="s">
        <v>5</v>
      </c>
      <c r="C7" s="45">
        <v>300</v>
      </c>
      <c r="D7" s="46">
        <v>3.5</v>
      </c>
      <c r="E7" s="47">
        <f t="shared" si="0"/>
        <v>1050</v>
      </c>
      <c r="F7" s="48">
        <v>40970</v>
      </c>
      <c r="G7" s="79" t="str">
        <f t="shared" si="1"/>
        <v>março</v>
      </c>
      <c r="H7">
        <f t="shared" si="2"/>
        <v>2012</v>
      </c>
      <c r="I7" s="81" t="str">
        <f t="shared" si="3"/>
        <v>março/2012</v>
      </c>
      <c r="J7" s="80" t="str">
        <f t="shared" si="4"/>
        <v>sexta-feira</v>
      </c>
      <c r="K7" t="str">
        <f>VLOOKUP(A7,RELACIONAMENTOS!A:C,2,0)</f>
        <v>ATOTAL</v>
      </c>
      <c r="L7" t="str">
        <f>VLOOKUP(A7,RELACIONAMENTOS!A:C,3,0)</f>
        <v>Simone</v>
      </c>
      <c r="M7" t="str">
        <f>VLOOKUP(B7,RELACIONAMENTOS!E:F,2,0)</f>
        <v>João</v>
      </c>
      <c r="N7" t="str">
        <f>VLOOKUP(B7,RELACIONAMENTOS!H:I,2,0)</f>
        <v>Daniel</v>
      </c>
      <c r="O7">
        <f>VLOOKUP(A7,RELACIONAMENTOS!K:L,2,0)</f>
        <v>78912345678</v>
      </c>
      <c r="P7">
        <f>VLOOKUP(B7,RELACIONAMENTOS!N:O,2,0)</f>
        <v>90</v>
      </c>
      <c r="Q7" s="82" t="str">
        <f t="shared" si="5"/>
        <v>Meta atingida</v>
      </c>
      <c r="R7" s="80" t="str">
        <f t="shared" si="6"/>
        <v>Não atingida</v>
      </c>
      <c r="S7" t="str">
        <f t="shared" si="7"/>
        <v>Sim</v>
      </c>
      <c r="T7" t="str">
        <f t="shared" si="8"/>
        <v>Não</v>
      </c>
      <c r="U7" s="80">
        <f>IF(E7&gt;=500,0,VLOOKUP(B7,RELACIONAMENTOS!N:O,2,0))</f>
        <v>0</v>
      </c>
      <c r="V7" s="83">
        <f t="shared" si="9"/>
        <v>0.1</v>
      </c>
      <c r="W7" s="84">
        <f>VLOOKUP(E7,RELACIONAMENTOS!$Q$1:$S$11,3,1)</f>
        <v>0.06</v>
      </c>
      <c r="Z7" s="51" t="s">
        <v>200</v>
      </c>
      <c r="AA7" s="52" t="s">
        <v>206</v>
      </c>
      <c r="AB7" s="53" t="b">
        <v>1</v>
      </c>
    </row>
    <row r="8" spans="1:32" ht="18.75" x14ac:dyDescent="0.25">
      <c r="A8" s="45" t="s">
        <v>6</v>
      </c>
      <c r="B8" s="45" t="s">
        <v>5</v>
      </c>
      <c r="C8" s="45">
        <v>300</v>
      </c>
      <c r="D8" s="46">
        <v>3.5</v>
      </c>
      <c r="E8" s="47">
        <f t="shared" si="0"/>
        <v>1050</v>
      </c>
      <c r="F8" s="48">
        <v>40969</v>
      </c>
      <c r="G8" s="79" t="str">
        <f t="shared" si="1"/>
        <v>março</v>
      </c>
      <c r="H8">
        <f t="shared" si="2"/>
        <v>2012</v>
      </c>
      <c r="I8" s="81" t="str">
        <f t="shared" si="3"/>
        <v>março/2012</v>
      </c>
      <c r="J8" s="80" t="str">
        <f t="shared" si="4"/>
        <v>quinta-feira</v>
      </c>
      <c r="K8" t="str">
        <f>VLOOKUP(A8,RELACIONAMENTOS!A:C,2,0)</f>
        <v>ATOTAL</v>
      </c>
      <c r="L8" t="str">
        <f>VLOOKUP(A8,RELACIONAMENTOS!A:C,3,0)</f>
        <v>Simone</v>
      </c>
      <c r="M8" t="str">
        <f>VLOOKUP(B8,RELACIONAMENTOS!E:F,2,0)</f>
        <v>João</v>
      </c>
      <c r="N8" t="str">
        <f>VLOOKUP(B8,RELACIONAMENTOS!H:I,2,0)</f>
        <v>Daniel</v>
      </c>
      <c r="O8">
        <f>VLOOKUP(A8,RELACIONAMENTOS!K:L,2,0)</f>
        <v>78912345678</v>
      </c>
      <c r="P8">
        <f>VLOOKUP(B8,RELACIONAMENTOS!N:O,2,0)</f>
        <v>90</v>
      </c>
      <c r="Q8" s="82" t="str">
        <f t="shared" si="5"/>
        <v>Meta atingida</v>
      </c>
      <c r="R8" s="80" t="str">
        <f t="shared" si="6"/>
        <v>Não atingida</v>
      </c>
      <c r="S8" t="str">
        <f t="shared" si="7"/>
        <v>Sim</v>
      </c>
      <c r="T8" t="str">
        <f t="shared" si="8"/>
        <v>Não</v>
      </c>
      <c r="U8" s="80">
        <f>IF(E8&gt;=500,0,VLOOKUP(B8,RELACIONAMENTOS!N:O,2,0))</f>
        <v>0</v>
      </c>
      <c r="V8" s="83">
        <f t="shared" si="9"/>
        <v>0.1</v>
      </c>
      <c r="W8" s="84">
        <f>VLOOKUP(E8,RELACIONAMENTOS!$Q$1:$S$11,3,1)</f>
        <v>0.06</v>
      </c>
      <c r="Z8" s="51" t="s">
        <v>201</v>
      </c>
      <c r="AA8" s="52" t="s">
        <v>207</v>
      </c>
      <c r="AB8" s="53" t="b">
        <v>0</v>
      </c>
    </row>
    <row r="9" spans="1:32" x14ac:dyDescent="0.25">
      <c r="A9" s="45" t="s">
        <v>6</v>
      </c>
      <c r="B9" s="45" t="s">
        <v>5</v>
      </c>
      <c r="C9" s="45">
        <v>102</v>
      </c>
      <c r="D9" s="46">
        <v>1.5</v>
      </c>
      <c r="E9" s="47">
        <f t="shared" si="0"/>
        <v>153</v>
      </c>
      <c r="F9" s="48">
        <v>40968</v>
      </c>
      <c r="G9" s="79" t="str">
        <f t="shared" si="1"/>
        <v>fevereiro</v>
      </c>
      <c r="H9">
        <f t="shared" si="2"/>
        <v>2012</v>
      </c>
      <c r="I9" s="81" t="str">
        <f t="shared" si="3"/>
        <v>fevereiro/2012</v>
      </c>
      <c r="J9" s="80" t="str">
        <f t="shared" si="4"/>
        <v>quarta-feira</v>
      </c>
      <c r="K9" t="str">
        <f>VLOOKUP(A9,RELACIONAMENTOS!A:C,2,0)</f>
        <v>ATOTAL</v>
      </c>
      <c r="L9" t="str">
        <f>VLOOKUP(A9,RELACIONAMENTOS!A:C,3,0)</f>
        <v>Simone</v>
      </c>
      <c r="M9" t="str">
        <f>VLOOKUP(B9,RELACIONAMENTOS!E:F,2,0)</f>
        <v>João</v>
      </c>
      <c r="N9" t="str">
        <f>VLOOKUP(B9,RELACIONAMENTOS!H:I,2,0)</f>
        <v>Daniel</v>
      </c>
      <c r="O9">
        <f>VLOOKUP(A9,RELACIONAMENTOS!K:L,2,0)</f>
        <v>78912345678</v>
      </c>
      <c r="P9">
        <f>VLOOKUP(B9,RELACIONAMENTOS!N:O,2,0)</f>
        <v>90</v>
      </c>
      <c r="Q9" s="82" t="str">
        <f t="shared" si="5"/>
        <v>Não atingida</v>
      </c>
      <c r="R9" s="80" t="str">
        <f t="shared" si="6"/>
        <v>Não atingida</v>
      </c>
      <c r="S9" t="str">
        <f t="shared" si="7"/>
        <v>Não</v>
      </c>
      <c r="T9" t="str">
        <f t="shared" si="8"/>
        <v>Não</v>
      </c>
      <c r="U9" s="80">
        <f>IF(E9&gt;=500,0,VLOOKUP(B9,RELACIONAMENTOS!N:O,2,0))</f>
        <v>90</v>
      </c>
      <c r="V9" s="83">
        <f t="shared" si="9"/>
        <v>0.01</v>
      </c>
      <c r="W9" s="84">
        <f>VLOOKUP(E9,RELACIONAMENTOS!$Q$1:$S$11,3,1)</f>
        <v>0.01</v>
      </c>
    </row>
    <row r="10" spans="1:32" x14ac:dyDescent="0.25">
      <c r="A10" s="45" t="s">
        <v>6</v>
      </c>
      <c r="B10" s="45" t="s">
        <v>5</v>
      </c>
      <c r="C10" s="45">
        <v>102</v>
      </c>
      <c r="D10" s="46">
        <v>1.5</v>
      </c>
      <c r="E10" s="47">
        <f t="shared" si="0"/>
        <v>153</v>
      </c>
      <c r="F10" s="48">
        <v>40967</v>
      </c>
      <c r="G10" s="79" t="str">
        <f t="shared" si="1"/>
        <v>fevereiro</v>
      </c>
      <c r="H10">
        <f t="shared" si="2"/>
        <v>2012</v>
      </c>
      <c r="I10" s="81" t="str">
        <f t="shared" si="3"/>
        <v>fevereiro/2012</v>
      </c>
      <c r="J10" s="80" t="str">
        <f t="shared" si="4"/>
        <v>terça-feira</v>
      </c>
      <c r="K10" t="str">
        <f>VLOOKUP(A10,RELACIONAMENTOS!A:C,2,0)</f>
        <v>ATOTAL</v>
      </c>
      <c r="L10" t="str">
        <f>VLOOKUP(A10,RELACIONAMENTOS!A:C,3,0)</f>
        <v>Simone</v>
      </c>
      <c r="M10" t="str">
        <f>VLOOKUP(B10,RELACIONAMENTOS!E:F,2,0)</f>
        <v>João</v>
      </c>
      <c r="N10" t="str">
        <f>VLOOKUP(B10,RELACIONAMENTOS!H:I,2,0)</f>
        <v>Daniel</v>
      </c>
      <c r="O10">
        <f>VLOOKUP(A10,RELACIONAMENTOS!K:L,2,0)</f>
        <v>78912345678</v>
      </c>
      <c r="P10">
        <f>VLOOKUP(B10,RELACIONAMENTOS!N:O,2,0)</f>
        <v>90</v>
      </c>
      <c r="Q10" s="82" t="str">
        <f t="shared" si="5"/>
        <v>Não atingida</v>
      </c>
      <c r="R10" s="80" t="str">
        <f t="shared" si="6"/>
        <v>Não atingida</v>
      </c>
      <c r="S10" t="str">
        <f t="shared" si="7"/>
        <v>Não</v>
      </c>
      <c r="T10" t="str">
        <f t="shared" si="8"/>
        <v>Não</v>
      </c>
      <c r="U10" s="80">
        <f>IF(E10&gt;=500,0,VLOOKUP(B10,RELACIONAMENTOS!N:O,2,0))</f>
        <v>90</v>
      </c>
      <c r="V10" s="83">
        <f t="shared" si="9"/>
        <v>0.01</v>
      </c>
      <c r="W10" s="84">
        <f>VLOOKUP(E10,RELACIONAMENTOS!$Q$1:$S$11,3,1)</f>
        <v>0.01</v>
      </c>
    </row>
    <row r="11" spans="1:32" x14ac:dyDescent="0.25">
      <c r="A11" s="56" t="s">
        <v>6</v>
      </c>
      <c r="B11" s="45" t="s">
        <v>5</v>
      </c>
      <c r="C11" s="45">
        <v>300</v>
      </c>
      <c r="D11" s="46">
        <v>3</v>
      </c>
      <c r="E11" s="47">
        <f t="shared" si="0"/>
        <v>900</v>
      </c>
      <c r="F11" s="48">
        <v>40966</v>
      </c>
      <c r="G11" s="79" t="str">
        <f t="shared" si="1"/>
        <v>fevereiro</v>
      </c>
      <c r="H11">
        <f t="shared" si="2"/>
        <v>2012</v>
      </c>
      <c r="I11" s="81" t="str">
        <f t="shared" si="3"/>
        <v>fevereiro/2012</v>
      </c>
      <c r="J11" s="80" t="str">
        <f t="shared" si="4"/>
        <v>segunda-feira</v>
      </c>
      <c r="K11" t="str">
        <f>VLOOKUP(A11,RELACIONAMENTOS!A:C,2,0)</f>
        <v>ATOTAL</v>
      </c>
      <c r="L11" t="str">
        <f>VLOOKUP(A11,RELACIONAMENTOS!A:C,3,0)</f>
        <v>Simone</v>
      </c>
      <c r="M11" t="str">
        <f>VLOOKUP(B11,RELACIONAMENTOS!E:F,2,0)</f>
        <v>João</v>
      </c>
      <c r="N11" t="str">
        <f>VLOOKUP(B11,RELACIONAMENTOS!H:I,2,0)</f>
        <v>Daniel</v>
      </c>
      <c r="O11">
        <f>VLOOKUP(A11,RELACIONAMENTOS!K:L,2,0)</f>
        <v>78912345678</v>
      </c>
      <c r="P11">
        <f>VLOOKUP(B11,RELACIONAMENTOS!N:O,2,0)</f>
        <v>90</v>
      </c>
      <c r="Q11" s="82" t="str">
        <f t="shared" si="5"/>
        <v>Meta atingida</v>
      </c>
      <c r="R11" s="80" t="str">
        <f t="shared" si="6"/>
        <v>Não atingida</v>
      </c>
      <c r="S11" t="str">
        <f t="shared" si="7"/>
        <v>Sim</v>
      </c>
      <c r="T11" t="str">
        <f t="shared" si="8"/>
        <v>Não</v>
      </c>
      <c r="U11" s="80">
        <f>IF(E11&gt;=500,0,VLOOKUP(B11,RELACIONAMENTOS!N:O,2,0))</f>
        <v>0</v>
      </c>
      <c r="V11" s="83">
        <f t="shared" si="9"/>
        <v>0.05</v>
      </c>
      <c r="W11" s="84">
        <f>VLOOKUP(E11,RELACIONAMENTOS!$Q$1:$S$11,3,1)</f>
        <v>0.05</v>
      </c>
    </row>
    <row r="12" spans="1:32" x14ac:dyDescent="0.25">
      <c r="A12" s="56" t="s">
        <v>6</v>
      </c>
      <c r="B12" s="45" t="s">
        <v>5</v>
      </c>
      <c r="C12" s="45">
        <v>344</v>
      </c>
      <c r="D12" s="46">
        <v>3</v>
      </c>
      <c r="E12" s="47">
        <f t="shared" si="0"/>
        <v>1032</v>
      </c>
      <c r="F12" s="48">
        <v>40965</v>
      </c>
      <c r="G12" s="79" t="str">
        <f t="shared" si="1"/>
        <v>fevereiro</v>
      </c>
      <c r="H12">
        <f t="shared" si="2"/>
        <v>2012</v>
      </c>
      <c r="I12" s="81" t="str">
        <f t="shared" si="3"/>
        <v>fevereiro/2012</v>
      </c>
      <c r="J12" s="80" t="str">
        <f t="shared" si="4"/>
        <v>domingo</v>
      </c>
      <c r="K12" t="str">
        <f>VLOOKUP(A12,RELACIONAMENTOS!A:C,2,0)</f>
        <v>ATOTAL</v>
      </c>
      <c r="L12" t="str">
        <f>VLOOKUP(A12,RELACIONAMENTOS!A:C,3,0)</f>
        <v>Simone</v>
      </c>
      <c r="M12" t="str">
        <f>VLOOKUP(B12,RELACIONAMENTOS!E:F,2,0)</f>
        <v>João</v>
      </c>
      <c r="N12" t="str">
        <f>VLOOKUP(B12,RELACIONAMENTOS!H:I,2,0)</f>
        <v>Daniel</v>
      </c>
      <c r="O12">
        <f>VLOOKUP(A12,RELACIONAMENTOS!K:L,2,0)</f>
        <v>78912345678</v>
      </c>
      <c r="P12">
        <f>VLOOKUP(B12,RELACIONAMENTOS!N:O,2,0)</f>
        <v>90</v>
      </c>
      <c r="Q12" s="82" t="str">
        <f t="shared" si="5"/>
        <v>Meta atingida</v>
      </c>
      <c r="R12" s="80" t="str">
        <f t="shared" si="6"/>
        <v>Meta atingida</v>
      </c>
      <c r="S12" t="str">
        <f t="shared" si="7"/>
        <v>Sim</v>
      </c>
      <c r="T12" t="str">
        <f t="shared" si="8"/>
        <v>Sim</v>
      </c>
      <c r="U12" s="80">
        <f>IF(E12&gt;=500,0,VLOOKUP(B12,RELACIONAMENTOS!N:O,2,0))</f>
        <v>0</v>
      </c>
      <c r="V12" s="83">
        <f t="shared" si="9"/>
        <v>0.1</v>
      </c>
      <c r="W12" s="84">
        <f>VLOOKUP(E12,RELACIONAMENTOS!$Q$1:$S$11,3,1)</f>
        <v>0.06</v>
      </c>
    </row>
    <row r="13" spans="1:32" x14ac:dyDescent="0.25">
      <c r="A13" s="45" t="s">
        <v>6</v>
      </c>
      <c r="B13" s="45" t="s">
        <v>5</v>
      </c>
      <c r="C13" s="45">
        <v>100</v>
      </c>
      <c r="D13" s="46">
        <v>3.5</v>
      </c>
      <c r="E13" s="47">
        <f t="shared" si="0"/>
        <v>350</v>
      </c>
      <c r="F13" s="48">
        <v>40964</v>
      </c>
      <c r="G13" s="79" t="str">
        <f t="shared" si="1"/>
        <v>fevereiro</v>
      </c>
      <c r="H13">
        <f t="shared" si="2"/>
        <v>2012</v>
      </c>
      <c r="I13" s="81" t="str">
        <f t="shared" si="3"/>
        <v>fevereiro/2012</v>
      </c>
      <c r="J13" s="80" t="str">
        <f t="shared" si="4"/>
        <v>sábado</v>
      </c>
      <c r="K13" t="str">
        <f>VLOOKUP(A13,RELACIONAMENTOS!A:C,2,0)</f>
        <v>ATOTAL</v>
      </c>
      <c r="L13" t="str">
        <f>VLOOKUP(A13,RELACIONAMENTOS!A:C,3,0)</f>
        <v>Simone</v>
      </c>
      <c r="M13" t="str">
        <f>VLOOKUP(B13,RELACIONAMENTOS!E:F,2,0)</f>
        <v>João</v>
      </c>
      <c r="N13" t="str">
        <f>VLOOKUP(B13,RELACIONAMENTOS!H:I,2,0)</f>
        <v>Daniel</v>
      </c>
      <c r="O13">
        <f>VLOOKUP(A13,RELACIONAMENTOS!K:L,2,0)</f>
        <v>78912345678</v>
      </c>
      <c r="P13">
        <f>VLOOKUP(B13,RELACIONAMENTOS!N:O,2,0)</f>
        <v>90</v>
      </c>
      <c r="Q13" s="82" t="str">
        <f t="shared" si="5"/>
        <v>Não atingida</v>
      </c>
      <c r="R13" s="80" t="str">
        <f t="shared" si="6"/>
        <v>Não atingida</v>
      </c>
      <c r="S13" t="str">
        <f t="shared" si="7"/>
        <v>Não</v>
      </c>
      <c r="T13" t="str">
        <f t="shared" si="8"/>
        <v>Não</v>
      </c>
      <c r="U13" s="80">
        <f>IF(E13&gt;=500,0,VLOOKUP(B13,RELACIONAMENTOS!N:O,2,0))</f>
        <v>90</v>
      </c>
      <c r="V13" s="83">
        <f t="shared" si="9"/>
        <v>0.02</v>
      </c>
      <c r="W13" s="84">
        <f>VLOOKUP(E13,RELACIONAMENTOS!$Q$1:$S$11,3,1)</f>
        <v>0.02</v>
      </c>
    </row>
    <row r="14" spans="1:32" x14ac:dyDescent="0.25">
      <c r="A14" s="45" t="s">
        <v>6</v>
      </c>
      <c r="B14" s="45" t="s">
        <v>5</v>
      </c>
      <c r="C14" s="45">
        <v>203</v>
      </c>
      <c r="D14" s="46">
        <v>3.5</v>
      </c>
      <c r="E14" s="47">
        <f t="shared" si="0"/>
        <v>710.5</v>
      </c>
      <c r="F14" s="48">
        <v>40963</v>
      </c>
      <c r="G14" s="79" t="str">
        <f t="shared" si="1"/>
        <v>fevereiro</v>
      </c>
      <c r="H14">
        <f t="shared" si="2"/>
        <v>2012</v>
      </c>
      <c r="I14" s="81" t="str">
        <f t="shared" si="3"/>
        <v>fevereiro/2012</v>
      </c>
      <c r="J14" s="80" t="str">
        <f t="shared" si="4"/>
        <v>sexta-feira</v>
      </c>
      <c r="K14" t="str">
        <f>VLOOKUP(A14,RELACIONAMENTOS!A:C,2,0)</f>
        <v>ATOTAL</v>
      </c>
      <c r="L14" t="str">
        <f>VLOOKUP(A14,RELACIONAMENTOS!A:C,3,0)</f>
        <v>Simone</v>
      </c>
      <c r="M14" t="str">
        <f>VLOOKUP(B14,RELACIONAMENTOS!E:F,2,0)</f>
        <v>João</v>
      </c>
      <c r="N14" t="str">
        <f>VLOOKUP(B14,RELACIONAMENTOS!H:I,2,0)</f>
        <v>Daniel</v>
      </c>
      <c r="O14">
        <f>VLOOKUP(A14,RELACIONAMENTOS!K:L,2,0)</f>
        <v>78912345678</v>
      </c>
      <c r="P14">
        <f>VLOOKUP(B14,RELACIONAMENTOS!N:O,2,0)</f>
        <v>90</v>
      </c>
      <c r="Q14" s="82" t="str">
        <f t="shared" si="5"/>
        <v>Meta atingida</v>
      </c>
      <c r="R14" s="80" t="str">
        <f t="shared" si="6"/>
        <v>Não atingida</v>
      </c>
      <c r="S14" t="str">
        <f t="shared" si="7"/>
        <v>Sim</v>
      </c>
      <c r="T14" t="str">
        <f t="shared" si="8"/>
        <v>Não</v>
      </c>
      <c r="U14" s="80">
        <f>IF(E14&gt;=500,0,VLOOKUP(B14,RELACIONAMENTOS!N:O,2,0))</f>
        <v>0</v>
      </c>
      <c r="V14" s="83">
        <f t="shared" si="9"/>
        <v>0.04</v>
      </c>
      <c r="W14" s="84">
        <f>VLOOKUP(E14,RELACIONAMENTOS!$Q$1:$S$11,3,1)</f>
        <v>0.04</v>
      </c>
    </row>
    <row r="15" spans="1:32" x14ac:dyDescent="0.25">
      <c r="A15" s="45" t="s">
        <v>6</v>
      </c>
      <c r="B15" s="45" t="s">
        <v>5</v>
      </c>
      <c r="C15" s="45">
        <v>100</v>
      </c>
      <c r="D15" s="46">
        <v>3.5</v>
      </c>
      <c r="E15" s="47">
        <f t="shared" si="0"/>
        <v>350</v>
      </c>
      <c r="F15" s="48">
        <v>40962</v>
      </c>
      <c r="G15" s="79" t="str">
        <f t="shared" si="1"/>
        <v>fevereiro</v>
      </c>
      <c r="H15">
        <f t="shared" si="2"/>
        <v>2012</v>
      </c>
      <c r="I15" s="81" t="str">
        <f t="shared" si="3"/>
        <v>fevereiro/2012</v>
      </c>
      <c r="J15" s="80" t="str">
        <f t="shared" si="4"/>
        <v>quinta-feira</v>
      </c>
      <c r="K15" t="str">
        <f>VLOOKUP(A15,RELACIONAMENTOS!A:C,2,0)</f>
        <v>ATOTAL</v>
      </c>
      <c r="L15" t="str">
        <f>VLOOKUP(A15,RELACIONAMENTOS!A:C,3,0)</f>
        <v>Simone</v>
      </c>
      <c r="M15" t="str">
        <f>VLOOKUP(B15,RELACIONAMENTOS!E:F,2,0)</f>
        <v>João</v>
      </c>
      <c r="N15" t="str">
        <f>VLOOKUP(B15,RELACIONAMENTOS!H:I,2,0)</f>
        <v>Daniel</v>
      </c>
      <c r="O15">
        <f>VLOOKUP(A15,RELACIONAMENTOS!K:L,2,0)</f>
        <v>78912345678</v>
      </c>
      <c r="P15">
        <f>VLOOKUP(B15,RELACIONAMENTOS!N:O,2,0)</f>
        <v>90</v>
      </c>
      <c r="Q15" s="82" t="str">
        <f t="shared" si="5"/>
        <v>Não atingida</v>
      </c>
      <c r="R15" s="80" t="str">
        <f t="shared" si="6"/>
        <v>Não atingida</v>
      </c>
      <c r="S15" t="str">
        <f t="shared" si="7"/>
        <v>Não</v>
      </c>
      <c r="T15" t="str">
        <f t="shared" si="8"/>
        <v>Não</v>
      </c>
      <c r="U15" s="80">
        <f>IF(E15&gt;=500,0,VLOOKUP(B15,RELACIONAMENTOS!N:O,2,0))</f>
        <v>90</v>
      </c>
      <c r="V15" s="83">
        <f t="shared" si="9"/>
        <v>0.02</v>
      </c>
      <c r="W15" s="84">
        <f>VLOOKUP(E15,RELACIONAMENTOS!$Q$1:$S$11,3,1)</f>
        <v>0.02</v>
      </c>
    </row>
    <row r="16" spans="1:32" x14ac:dyDescent="0.25">
      <c r="A16" s="45" t="s">
        <v>6</v>
      </c>
      <c r="B16" s="45" t="s">
        <v>5</v>
      </c>
      <c r="C16" s="45">
        <v>100</v>
      </c>
      <c r="D16" s="46">
        <v>3.5</v>
      </c>
      <c r="E16" s="47">
        <f t="shared" si="0"/>
        <v>350</v>
      </c>
      <c r="F16" s="48">
        <v>40961</v>
      </c>
      <c r="G16" s="79" t="str">
        <f t="shared" si="1"/>
        <v>fevereiro</v>
      </c>
      <c r="H16">
        <f t="shared" si="2"/>
        <v>2012</v>
      </c>
      <c r="I16" s="81" t="str">
        <f t="shared" si="3"/>
        <v>fevereiro/2012</v>
      </c>
      <c r="J16" s="80" t="str">
        <f t="shared" si="4"/>
        <v>quarta-feira</v>
      </c>
      <c r="K16" t="str">
        <f>VLOOKUP(A16,RELACIONAMENTOS!A:C,2,0)</f>
        <v>ATOTAL</v>
      </c>
      <c r="L16" t="str">
        <f>VLOOKUP(A16,RELACIONAMENTOS!A:C,3,0)</f>
        <v>Simone</v>
      </c>
      <c r="M16" t="str">
        <f>VLOOKUP(B16,RELACIONAMENTOS!E:F,2,0)</f>
        <v>João</v>
      </c>
      <c r="N16" t="str">
        <f>VLOOKUP(B16,RELACIONAMENTOS!H:I,2,0)</f>
        <v>Daniel</v>
      </c>
      <c r="O16">
        <f>VLOOKUP(A16,RELACIONAMENTOS!K:L,2,0)</f>
        <v>78912345678</v>
      </c>
      <c r="P16">
        <f>VLOOKUP(B16,RELACIONAMENTOS!N:O,2,0)</f>
        <v>90</v>
      </c>
      <c r="Q16" s="82" t="str">
        <f t="shared" si="5"/>
        <v>Não atingida</v>
      </c>
      <c r="R16" s="80" t="str">
        <f t="shared" si="6"/>
        <v>Não atingida</v>
      </c>
      <c r="S16" t="str">
        <f t="shared" si="7"/>
        <v>Não</v>
      </c>
      <c r="T16" t="str">
        <f t="shared" si="8"/>
        <v>Não</v>
      </c>
      <c r="U16" s="80">
        <f>IF(E16&gt;=500,0,VLOOKUP(B16,RELACIONAMENTOS!N:O,2,0))</f>
        <v>90</v>
      </c>
      <c r="V16" s="83">
        <f t="shared" si="9"/>
        <v>0.02</v>
      </c>
      <c r="W16" s="84">
        <f>VLOOKUP(E16,RELACIONAMENTOS!$Q$1:$S$11,3,1)</f>
        <v>0.02</v>
      </c>
    </row>
    <row r="17" spans="1:23" x14ac:dyDescent="0.25">
      <c r="A17" s="45" t="s">
        <v>6</v>
      </c>
      <c r="B17" s="45" t="s">
        <v>5</v>
      </c>
      <c r="C17" s="45">
        <v>100</v>
      </c>
      <c r="D17" s="46">
        <v>3.5</v>
      </c>
      <c r="E17" s="47">
        <f t="shared" si="0"/>
        <v>350</v>
      </c>
      <c r="F17" s="48">
        <v>40960</v>
      </c>
      <c r="G17" s="79" t="str">
        <f t="shared" si="1"/>
        <v>fevereiro</v>
      </c>
      <c r="H17">
        <f t="shared" si="2"/>
        <v>2012</v>
      </c>
      <c r="I17" s="81" t="str">
        <f t="shared" si="3"/>
        <v>fevereiro/2012</v>
      </c>
      <c r="J17" s="80" t="str">
        <f t="shared" si="4"/>
        <v>terça-feira</v>
      </c>
      <c r="K17" t="str">
        <f>VLOOKUP(A17,RELACIONAMENTOS!A:C,2,0)</f>
        <v>ATOTAL</v>
      </c>
      <c r="L17" t="str">
        <f>VLOOKUP(A17,RELACIONAMENTOS!A:C,3,0)</f>
        <v>Simone</v>
      </c>
      <c r="M17" t="str">
        <f>VLOOKUP(B17,RELACIONAMENTOS!E:F,2,0)</f>
        <v>João</v>
      </c>
      <c r="N17" t="str">
        <f>VLOOKUP(B17,RELACIONAMENTOS!H:I,2,0)</f>
        <v>Daniel</v>
      </c>
      <c r="O17">
        <f>VLOOKUP(A17,RELACIONAMENTOS!K:L,2,0)</f>
        <v>78912345678</v>
      </c>
      <c r="P17">
        <f>VLOOKUP(B17,RELACIONAMENTOS!N:O,2,0)</f>
        <v>90</v>
      </c>
      <c r="Q17" s="82" t="str">
        <f t="shared" si="5"/>
        <v>Não atingida</v>
      </c>
      <c r="R17" s="80" t="str">
        <f t="shared" si="6"/>
        <v>Não atingida</v>
      </c>
      <c r="S17" t="str">
        <f t="shared" si="7"/>
        <v>Não</v>
      </c>
      <c r="T17" t="str">
        <f t="shared" si="8"/>
        <v>Não</v>
      </c>
      <c r="U17" s="80">
        <f>IF(E17&gt;=500,0,VLOOKUP(B17,RELACIONAMENTOS!N:O,2,0))</f>
        <v>90</v>
      </c>
      <c r="V17" s="83">
        <f t="shared" si="9"/>
        <v>0.02</v>
      </c>
      <c r="W17" s="84">
        <f>VLOOKUP(E17,RELACIONAMENTOS!$Q$1:$S$11,3,1)</f>
        <v>0.02</v>
      </c>
    </row>
    <row r="18" spans="1:23" x14ac:dyDescent="0.25">
      <c r="A18" s="45" t="s">
        <v>6</v>
      </c>
      <c r="B18" s="45" t="s">
        <v>5</v>
      </c>
      <c r="C18" s="45">
        <v>203</v>
      </c>
      <c r="D18" s="46">
        <v>3.5</v>
      </c>
      <c r="E18" s="47">
        <f t="shared" si="0"/>
        <v>710.5</v>
      </c>
      <c r="F18" s="48">
        <v>40959</v>
      </c>
      <c r="G18" s="79" t="str">
        <f t="shared" si="1"/>
        <v>fevereiro</v>
      </c>
      <c r="H18">
        <f t="shared" si="2"/>
        <v>2012</v>
      </c>
      <c r="I18" s="81" t="str">
        <f t="shared" si="3"/>
        <v>fevereiro/2012</v>
      </c>
      <c r="J18" s="80" t="str">
        <f t="shared" si="4"/>
        <v>segunda-feira</v>
      </c>
      <c r="K18" t="str">
        <f>VLOOKUP(A18,RELACIONAMENTOS!A:C,2,0)</f>
        <v>ATOTAL</v>
      </c>
      <c r="L18" t="str">
        <f>VLOOKUP(A18,RELACIONAMENTOS!A:C,3,0)</f>
        <v>Simone</v>
      </c>
      <c r="M18" t="str">
        <f>VLOOKUP(B18,RELACIONAMENTOS!E:F,2,0)</f>
        <v>João</v>
      </c>
      <c r="N18" t="str">
        <f>VLOOKUP(B18,RELACIONAMENTOS!H:I,2,0)</f>
        <v>Daniel</v>
      </c>
      <c r="O18">
        <f>VLOOKUP(A18,RELACIONAMENTOS!K:L,2,0)</f>
        <v>78912345678</v>
      </c>
      <c r="P18">
        <f>VLOOKUP(B18,RELACIONAMENTOS!N:O,2,0)</f>
        <v>90</v>
      </c>
      <c r="Q18" s="82" t="str">
        <f t="shared" si="5"/>
        <v>Meta atingida</v>
      </c>
      <c r="R18" s="80" t="str">
        <f t="shared" si="6"/>
        <v>Não atingida</v>
      </c>
      <c r="S18" t="str">
        <f t="shared" si="7"/>
        <v>Sim</v>
      </c>
      <c r="T18" t="str">
        <f t="shared" si="8"/>
        <v>Não</v>
      </c>
      <c r="U18" s="80">
        <f>IF(E18&gt;=500,0,VLOOKUP(B18,RELACIONAMENTOS!N:O,2,0))</f>
        <v>0</v>
      </c>
      <c r="V18" s="83">
        <f t="shared" si="9"/>
        <v>0.04</v>
      </c>
      <c r="W18" s="84">
        <f>VLOOKUP(E18,RELACIONAMENTOS!$Q$1:$S$11,3,1)</f>
        <v>0.04</v>
      </c>
    </row>
    <row r="19" spans="1:23" x14ac:dyDescent="0.25">
      <c r="A19" s="45" t="s">
        <v>6</v>
      </c>
      <c r="B19" s="45" t="s">
        <v>5</v>
      </c>
      <c r="C19" s="45">
        <v>100</v>
      </c>
      <c r="D19" s="46">
        <v>3.5</v>
      </c>
      <c r="E19" s="47">
        <f t="shared" si="0"/>
        <v>350</v>
      </c>
      <c r="F19" s="48">
        <v>40958</v>
      </c>
      <c r="G19" s="79" t="str">
        <f t="shared" si="1"/>
        <v>fevereiro</v>
      </c>
      <c r="H19">
        <f t="shared" si="2"/>
        <v>2012</v>
      </c>
      <c r="I19" s="81" t="str">
        <f t="shared" si="3"/>
        <v>fevereiro/2012</v>
      </c>
      <c r="J19" s="80" t="str">
        <f t="shared" si="4"/>
        <v>domingo</v>
      </c>
      <c r="K19" t="str">
        <f>VLOOKUP(A19,RELACIONAMENTOS!A:C,2,0)</f>
        <v>ATOTAL</v>
      </c>
      <c r="L19" t="str">
        <f>VLOOKUP(A19,RELACIONAMENTOS!A:C,3,0)</f>
        <v>Simone</v>
      </c>
      <c r="M19" t="str">
        <f>VLOOKUP(B19,RELACIONAMENTOS!E:F,2,0)</f>
        <v>João</v>
      </c>
      <c r="N19" t="str">
        <f>VLOOKUP(B19,RELACIONAMENTOS!H:I,2,0)</f>
        <v>Daniel</v>
      </c>
      <c r="O19">
        <f>VLOOKUP(A19,RELACIONAMENTOS!K:L,2,0)</f>
        <v>78912345678</v>
      </c>
      <c r="P19">
        <f>VLOOKUP(B19,RELACIONAMENTOS!N:O,2,0)</f>
        <v>90</v>
      </c>
      <c r="Q19" s="82" t="str">
        <f t="shared" si="5"/>
        <v>Não atingida</v>
      </c>
      <c r="R19" s="80" t="str">
        <f t="shared" si="6"/>
        <v>Não atingida</v>
      </c>
      <c r="S19" t="str">
        <f t="shared" si="7"/>
        <v>Não</v>
      </c>
      <c r="T19" t="str">
        <f t="shared" si="8"/>
        <v>Não</v>
      </c>
      <c r="U19" s="80">
        <f>IF(E19&gt;=500,0,VLOOKUP(B19,RELACIONAMENTOS!N:O,2,0))</f>
        <v>90</v>
      </c>
      <c r="V19" s="83">
        <f t="shared" si="9"/>
        <v>0.02</v>
      </c>
      <c r="W19" s="84">
        <f>VLOOKUP(E19,RELACIONAMENTOS!$Q$1:$S$11,3,1)</f>
        <v>0.02</v>
      </c>
    </row>
    <row r="20" spans="1:23" x14ac:dyDescent="0.25">
      <c r="A20" s="45" t="s">
        <v>6</v>
      </c>
      <c r="B20" s="45" t="s">
        <v>5</v>
      </c>
      <c r="C20" s="45">
        <v>10</v>
      </c>
      <c r="D20" s="46">
        <v>3</v>
      </c>
      <c r="E20" s="47">
        <f t="shared" si="0"/>
        <v>30</v>
      </c>
      <c r="F20" s="48">
        <v>40957</v>
      </c>
      <c r="G20" s="79" t="str">
        <f t="shared" si="1"/>
        <v>fevereiro</v>
      </c>
      <c r="H20">
        <f t="shared" si="2"/>
        <v>2012</v>
      </c>
      <c r="I20" s="81" t="str">
        <f t="shared" si="3"/>
        <v>fevereiro/2012</v>
      </c>
      <c r="J20" s="80" t="str">
        <f t="shared" si="4"/>
        <v>sábado</v>
      </c>
      <c r="K20" t="str">
        <f>VLOOKUP(A20,RELACIONAMENTOS!A:C,2,0)</f>
        <v>ATOTAL</v>
      </c>
      <c r="L20" t="str">
        <f>VLOOKUP(A20,RELACIONAMENTOS!A:C,3,0)</f>
        <v>Simone</v>
      </c>
      <c r="M20" t="str">
        <f>VLOOKUP(B20,RELACIONAMENTOS!E:F,2,0)</f>
        <v>João</v>
      </c>
      <c r="N20" t="str">
        <f>VLOOKUP(B20,RELACIONAMENTOS!H:I,2,0)</f>
        <v>Daniel</v>
      </c>
      <c r="O20">
        <f>VLOOKUP(A20,RELACIONAMENTOS!K:L,2,0)</f>
        <v>78912345678</v>
      </c>
      <c r="P20">
        <f>VLOOKUP(B20,RELACIONAMENTOS!N:O,2,0)</f>
        <v>90</v>
      </c>
      <c r="Q20" s="82" t="str">
        <f t="shared" si="5"/>
        <v>Não atingida</v>
      </c>
      <c r="R20" s="80" t="str">
        <f t="shared" si="6"/>
        <v>Não atingida</v>
      </c>
      <c r="S20" t="str">
        <f t="shared" si="7"/>
        <v>Não</v>
      </c>
      <c r="T20" t="str">
        <f t="shared" si="8"/>
        <v>Não</v>
      </c>
      <c r="U20" s="80">
        <f>IF(E20&gt;=500,0,VLOOKUP(B20,RELACIONAMENTOS!N:O,2,0))</f>
        <v>90</v>
      </c>
      <c r="V20" s="83">
        <f t="shared" si="9"/>
        <v>0.01</v>
      </c>
      <c r="W20" s="84">
        <f>VLOOKUP(E20,RELACIONAMENTOS!$Q$1:$S$11,3,1)</f>
        <v>0.01</v>
      </c>
    </row>
    <row r="21" spans="1:23" x14ac:dyDescent="0.25">
      <c r="A21" s="45" t="s">
        <v>6</v>
      </c>
      <c r="B21" s="45" t="s">
        <v>5</v>
      </c>
      <c r="C21" s="45">
        <v>300</v>
      </c>
      <c r="D21" s="46">
        <v>3</v>
      </c>
      <c r="E21" s="47">
        <f t="shared" si="0"/>
        <v>900</v>
      </c>
      <c r="F21" s="48">
        <v>40956</v>
      </c>
      <c r="G21" s="79" t="str">
        <f t="shared" si="1"/>
        <v>fevereiro</v>
      </c>
      <c r="H21">
        <f t="shared" si="2"/>
        <v>2012</v>
      </c>
      <c r="I21" s="81" t="str">
        <f t="shared" si="3"/>
        <v>fevereiro/2012</v>
      </c>
      <c r="J21" s="80" t="str">
        <f t="shared" si="4"/>
        <v>sexta-feira</v>
      </c>
      <c r="K21" t="str">
        <f>VLOOKUP(A21,RELACIONAMENTOS!A:C,2,0)</f>
        <v>ATOTAL</v>
      </c>
      <c r="L21" t="str">
        <f>VLOOKUP(A21,RELACIONAMENTOS!A:C,3,0)</f>
        <v>Simone</v>
      </c>
      <c r="M21" t="str">
        <f>VLOOKUP(B21,RELACIONAMENTOS!E:F,2,0)</f>
        <v>João</v>
      </c>
      <c r="N21" t="str">
        <f>VLOOKUP(B21,RELACIONAMENTOS!H:I,2,0)</f>
        <v>Daniel</v>
      </c>
      <c r="O21">
        <f>VLOOKUP(A21,RELACIONAMENTOS!K:L,2,0)</f>
        <v>78912345678</v>
      </c>
      <c r="P21">
        <f>VLOOKUP(B21,RELACIONAMENTOS!N:O,2,0)</f>
        <v>90</v>
      </c>
      <c r="Q21" s="82" t="str">
        <f t="shared" si="5"/>
        <v>Meta atingida</v>
      </c>
      <c r="R21" s="80" t="str">
        <f t="shared" si="6"/>
        <v>Não atingida</v>
      </c>
      <c r="S21" t="str">
        <f t="shared" si="7"/>
        <v>Sim</v>
      </c>
      <c r="T21" t="str">
        <f t="shared" si="8"/>
        <v>Não</v>
      </c>
      <c r="U21" s="80">
        <f>IF(E21&gt;=500,0,VLOOKUP(B21,RELACIONAMENTOS!N:O,2,0))</f>
        <v>0</v>
      </c>
      <c r="V21" s="83">
        <f t="shared" si="9"/>
        <v>0.05</v>
      </c>
      <c r="W21" s="84">
        <f>VLOOKUP(E21,RELACIONAMENTOS!$Q$1:$S$11,3,1)</f>
        <v>0.05</v>
      </c>
    </row>
    <row r="22" spans="1:23" x14ac:dyDescent="0.25">
      <c r="A22" s="56" t="s">
        <v>6</v>
      </c>
      <c r="B22" s="45" t="s">
        <v>5</v>
      </c>
      <c r="C22" s="45">
        <v>100</v>
      </c>
      <c r="D22" s="46">
        <v>3.5</v>
      </c>
      <c r="E22" s="47">
        <f t="shared" si="0"/>
        <v>350</v>
      </c>
      <c r="F22" s="48">
        <v>40955</v>
      </c>
      <c r="G22" s="79" t="str">
        <f t="shared" si="1"/>
        <v>fevereiro</v>
      </c>
      <c r="H22">
        <f t="shared" si="2"/>
        <v>2012</v>
      </c>
      <c r="I22" s="81" t="str">
        <f t="shared" si="3"/>
        <v>fevereiro/2012</v>
      </c>
      <c r="J22" s="80" t="str">
        <f t="shared" si="4"/>
        <v>quinta-feira</v>
      </c>
      <c r="K22" t="str">
        <f>VLOOKUP(A22,RELACIONAMENTOS!A:C,2,0)</f>
        <v>ATOTAL</v>
      </c>
      <c r="L22" t="str">
        <f>VLOOKUP(A22,RELACIONAMENTOS!A:C,3,0)</f>
        <v>Simone</v>
      </c>
      <c r="M22" t="str">
        <f>VLOOKUP(B22,RELACIONAMENTOS!E:F,2,0)</f>
        <v>João</v>
      </c>
      <c r="N22" t="str">
        <f>VLOOKUP(B22,RELACIONAMENTOS!H:I,2,0)</f>
        <v>Daniel</v>
      </c>
      <c r="O22">
        <f>VLOOKUP(A22,RELACIONAMENTOS!K:L,2,0)</f>
        <v>78912345678</v>
      </c>
      <c r="P22">
        <f>VLOOKUP(B22,RELACIONAMENTOS!N:O,2,0)</f>
        <v>90</v>
      </c>
      <c r="Q22" s="82" t="str">
        <f t="shared" si="5"/>
        <v>Não atingida</v>
      </c>
      <c r="R22" s="80" t="str">
        <f t="shared" si="6"/>
        <v>Não atingida</v>
      </c>
      <c r="S22" t="str">
        <f t="shared" si="7"/>
        <v>Não</v>
      </c>
      <c r="T22" t="str">
        <f t="shared" si="8"/>
        <v>Não</v>
      </c>
      <c r="U22" s="80">
        <f>IF(E22&gt;=500,0,VLOOKUP(B22,RELACIONAMENTOS!N:O,2,0))</f>
        <v>90</v>
      </c>
      <c r="V22" s="83">
        <f t="shared" si="9"/>
        <v>0.02</v>
      </c>
      <c r="W22" s="84">
        <f>VLOOKUP(E22,RELACIONAMENTOS!$Q$1:$S$11,3,1)</f>
        <v>0.02</v>
      </c>
    </row>
    <row r="23" spans="1:23" x14ac:dyDescent="0.25">
      <c r="A23" s="45" t="s">
        <v>6</v>
      </c>
      <c r="B23" s="45" t="s">
        <v>5</v>
      </c>
      <c r="C23" s="45">
        <v>100</v>
      </c>
      <c r="D23" s="46">
        <v>3.5</v>
      </c>
      <c r="E23" s="47">
        <f t="shared" si="0"/>
        <v>350</v>
      </c>
      <c r="F23" s="48">
        <v>40954</v>
      </c>
      <c r="G23" s="79" t="str">
        <f t="shared" si="1"/>
        <v>fevereiro</v>
      </c>
      <c r="H23">
        <f t="shared" si="2"/>
        <v>2012</v>
      </c>
      <c r="I23" s="81" t="str">
        <f t="shared" si="3"/>
        <v>fevereiro/2012</v>
      </c>
      <c r="J23" s="80" t="str">
        <f t="shared" si="4"/>
        <v>quarta-feira</v>
      </c>
      <c r="K23" t="str">
        <f>VLOOKUP(A23,RELACIONAMENTOS!A:C,2,0)</f>
        <v>ATOTAL</v>
      </c>
      <c r="L23" t="str">
        <f>VLOOKUP(A23,RELACIONAMENTOS!A:C,3,0)</f>
        <v>Simone</v>
      </c>
      <c r="M23" t="str">
        <f>VLOOKUP(B23,RELACIONAMENTOS!E:F,2,0)</f>
        <v>João</v>
      </c>
      <c r="N23" t="str">
        <f>VLOOKUP(B23,RELACIONAMENTOS!H:I,2,0)</f>
        <v>Daniel</v>
      </c>
      <c r="O23">
        <f>VLOOKUP(A23,RELACIONAMENTOS!K:L,2,0)</f>
        <v>78912345678</v>
      </c>
      <c r="P23">
        <f>VLOOKUP(B23,RELACIONAMENTOS!N:O,2,0)</f>
        <v>90</v>
      </c>
      <c r="Q23" s="82" t="str">
        <f t="shared" si="5"/>
        <v>Não atingida</v>
      </c>
      <c r="R23" s="80" t="str">
        <f t="shared" si="6"/>
        <v>Não atingida</v>
      </c>
      <c r="S23" t="str">
        <f t="shared" si="7"/>
        <v>Não</v>
      </c>
      <c r="T23" t="str">
        <f t="shared" si="8"/>
        <v>Não</v>
      </c>
      <c r="U23" s="80">
        <f>IF(E23&gt;=500,0,VLOOKUP(B23,RELACIONAMENTOS!N:O,2,0))</f>
        <v>90</v>
      </c>
      <c r="V23" s="83">
        <f t="shared" si="9"/>
        <v>0.02</v>
      </c>
      <c r="W23" s="84">
        <f>VLOOKUP(E23,RELACIONAMENTOS!$Q$1:$S$11,3,1)</f>
        <v>0.02</v>
      </c>
    </row>
    <row r="24" spans="1:23" x14ac:dyDescent="0.25">
      <c r="A24" s="45" t="s">
        <v>6</v>
      </c>
      <c r="B24" s="45" t="s">
        <v>5</v>
      </c>
      <c r="C24" s="45">
        <v>500</v>
      </c>
      <c r="D24" s="46">
        <v>1.5</v>
      </c>
      <c r="E24" s="47">
        <f t="shared" si="0"/>
        <v>750</v>
      </c>
      <c r="F24" s="48">
        <v>40953</v>
      </c>
      <c r="G24" s="79" t="str">
        <f t="shared" si="1"/>
        <v>fevereiro</v>
      </c>
      <c r="H24">
        <f t="shared" si="2"/>
        <v>2012</v>
      </c>
      <c r="I24" s="81" t="str">
        <f t="shared" si="3"/>
        <v>fevereiro/2012</v>
      </c>
      <c r="J24" s="80" t="str">
        <f t="shared" si="4"/>
        <v>terça-feira</v>
      </c>
      <c r="K24" t="str">
        <f>VLOOKUP(A24,RELACIONAMENTOS!A:C,2,0)</f>
        <v>ATOTAL</v>
      </c>
      <c r="L24" t="str">
        <f>VLOOKUP(A24,RELACIONAMENTOS!A:C,3,0)</f>
        <v>Simone</v>
      </c>
      <c r="M24" t="str">
        <f>VLOOKUP(B24,RELACIONAMENTOS!E:F,2,0)</f>
        <v>João</v>
      </c>
      <c r="N24" t="str">
        <f>VLOOKUP(B24,RELACIONAMENTOS!H:I,2,0)</f>
        <v>Daniel</v>
      </c>
      <c r="O24">
        <f>VLOOKUP(A24,RELACIONAMENTOS!K:L,2,0)</f>
        <v>78912345678</v>
      </c>
      <c r="P24">
        <f>VLOOKUP(B24,RELACIONAMENTOS!N:O,2,0)</f>
        <v>90</v>
      </c>
      <c r="Q24" s="82" t="str">
        <f t="shared" si="5"/>
        <v>Meta atingida</v>
      </c>
      <c r="R24" s="80" t="str">
        <f t="shared" si="6"/>
        <v>Meta atingida</v>
      </c>
      <c r="S24" t="str">
        <f t="shared" si="7"/>
        <v>Sim</v>
      </c>
      <c r="T24" t="str">
        <f t="shared" si="8"/>
        <v>Sim</v>
      </c>
      <c r="U24" s="80">
        <f>IF(E24&gt;=500,0,VLOOKUP(B24,RELACIONAMENTOS!N:O,2,0))</f>
        <v>0</v>
      </c>
      <c r="V24" s="83">
        <f t="shared" si="9"/>
        <v>0.04</v>
      </c>
      <c r="W24" s="84">
        <f>VLOOKUP(E24,RELACIONAMENTOS!$Q$1:$S$11,3,1)</f>
        <v>0.04</v>
      </c>
    </row>
    <row r="25" spans="1:23" x14ac:dyDescent="0.25">
      <c r="A25" s="45" t="s">
        <v>6</v>
      </c>
      <c r="B25" s="45" t="s">
        <v>5</v>
      </c>
      <c r="C25" s="45">
        <v>500</v>
      </c>
      <c r="D25" s="46">
        <v>1.5</v>
      </c>
      <c r="E25" s="47">
        <f t="shared" si="0"/>
        <v>750</v>
      </c>
      <c r="F25" s="48">
        <v>40952</v>
      </c>
      <c r="G25" s="79" t="str">
        <f t="shared" si="1"/>
        <v>fevereiro</v>
      </c>
      <c r="H25">
        <f t="shared" si="2"/>
        <v>2012</v>
      </c>
      <c r="I25" s="81" t="str">
        <f t="shared" si="3"/>
        <v>fevereiro/2012</v>
      </c>
      <c r="J25" s="80" t="str">
        <f t="shared" si="4"/>
        <v>segunda-feira</v>
      </c>
      <c r="K25" t="str">
        <f>VLOOKUP(A25,RELACIONAMENTOS!A:C,2,0)</f>
        <v>ATOTAL</v>
      </c>
      <c r="L25" t="str">
        <f>VLOOKUP(A25,RELACIONAMENTOS!A:C,3,0)</f>
        <v>Simone</v>
      </c>
      <c r="M25" t="str">
        <f>VLOOKUP(B25,RELACIONAMENTOS!E:F,2,0)</f>
        <v>João</v>
      </c>
      <c r="N25" t="str">
        <f>VLOOKUP(B25,RELACIONAMENTOS!H:I,2,0)</f>
        <v>Daniel</v>
      </c>
      <c r="O25">
        <f>VLOOKUP(A25,RELACIONAMENTOS!K:L,2,0)</f>
        <v>78912345678</v>
      </c>
      <c r="P25">
        <f>VLOOKUP(B25,RELACIONAMENTOS!N:O,2,0)</f>
        <v>90</v>
      </c>
      <c r="Q25" s="82" t="str">
        <f t="shared" si="5"/>
        <v>Meta atingida</v>
      </c>
      <c r="R25" s="80" t="str">
        <f t="shared" si="6"/>
        <v>Meta atingida</v>
      </c>
      <c r="S25" t="str">
        <f t="shared" si="7"/>
        <v>Sim</v>
      </c>
      <c r="T25" t="str">
        <f t="shared" si="8"/>
        <v>Sim</v>
      </c>
      <c r="U25" s="80">
        <f>IF(E25&gt;=500,0,VLOOKUP(B25,RELACIONAMENTOS!N:O,2,0))</f>
        <v>0</v>
      </c>
      <c r="V25" s="83">
        <f t="shared" si="9"/>
        <v>0.04</v>
      </c>
      <c r="W25" s="84">
        <f>VLOOKUP(E25,RELACIONAMENTOS!$Q$1:$S$11,3,1)</f>
        <v>0.04</v>
      </c>
    </row>
    <row r="26" spans="1:23" x14ac:dyDescent="0.25">
      <c r="A26" s="45" t="s">
        <v>6</v>
      </c>
      <c r="B26" s="45" t="s">
        <v>5</v>
      </c>
      <c r="C26" s="45">
        <v>20</v>
      </c>
      <c r="D26" s="46">
        <v>3</v>
      </c>
      <c r="E26" s="47">
        <f t="shared" si="0"/>
        <v>60</v>
      </c>
      <c r="F26" s="48">
        <v>40951</v>
      </c>
      <c r="G26" s="79" t="str">
        <f t="shared" si="1"/>
        <v>fevereiro</v>
      </c>
      <c r="H26">
        <f t="shared" si="2"/>
        <v>2012</v>
      </c>
      <c r="I26" s="81" t="str">
        <f t="shared" si="3"/>
        <v>fevereiro/2012</v>
      </c>
      <c r="J26" s="80" t="str">
        <f t="shared" si="4"/>
        <v>domingo</v>
      </c>
      <c r="K26" t="str">
        <f>VLOOKUP(A26,RELACIONAMENTOS!A:C,2,0)</f>
        <v>ATOTAL</v>
      </c>
      <c r="L26" t="str">
        <f>VLOOKUP(A26,RELACIONAMENTOS!A:C,3,0)</f>
        <v>Simone</v>
      </c>
      <c r="M26" t="str">
        <f>VLOOKUP(B26,RELACIONAMENTOS!E:F,2,0)</f>
        <v>João</v>
      </c>
      <c r="N26" t="str">
        <f>VLOOKUP(B26,RELACIONAMENTOS!H:I,2,0)</f>
        <v>Daniel</v>
      </c>
      <c r="O26">
        <f>VLOOKUP(A26,RELACIONAMENTOS!K:L,2,0)</f>
        <v>78912345678</v>
      </c>
      <c r="P26">
        <f>VLOOKUP(B26,RELACIONAMENTOS!N:O,2,0)</f>
        <v>90</v>
      </c>
      <c r="Q26" s="82" t="str">
        <f t="shared" si="5"/>
        <v>Não atingida</v>
      </c>
      <c r="R26" s="80" t="str">
        <f t="shared" si="6"/>
        <v>Não atingida</v>
      </c>
      <c r="S26" t="str">
        <f t="shared" si="7"/>
        <v>Não</v>
      </c>
      <c r="T26" t="str">
        <f t="shared" si="8"/>
        <v>Não</v>
      </c>
      <c r="U26" s="80">
        <f>IF(E26&gt;=500,0,VLOOKUP(B26,RELACIONAMENTOS!N:O,2,0))</f>
        <v>90</v>
      </c>
      <c r="V26" s="83">
        <f t="shared" si="9"/>
        <v>0.01</v>
      </c>
      <c r="W26" s="84">
        <f>VLOOKUP(E26,RELACIONAMENTOS!$Q$1:$S$11,3,1)</f>
        <v>0.01</v>
      </c>
    </row>
    <row r="27" spans="1:23" x14ac:dyDescent="0.25">
      <c r="A27" s="56" t="s">
        <v>6</v>
      </c>
      <c r="B27" s="45" t="s">
        <v>5</v>
      </c>
      <c r="C27" s="45">
        <v>100</v>
      </c>
      <c r="D27" s="46">
        <v>3.5</v>
      </c>
      <c r="E27" s="47">
        <f t="shared" si="0"/>
        <v>350</v>
      </c>
      <c r="F27" s="48">
        <v>40950</v>
      </c>
      <c r="G27" s="79" t="str">
        <f t="shared" si="1"/>
        <v>fevereiro</v>
      </c>
      <c r="H27">
        <f t="shared" si="2"/>
        <v>2012</v>
      </c>
      <c r="I27" s="81" t="str">
        <f t="shared" si="3"/>
        <v>fevereiro/2012</v>
      </c>
      <c r="J27" s="80" t="str">
        <f t="shared" si="4"/>
        <v>sábado</v>
      </c>
      <c r="K27" t="str">
        <f>VLOOKUP(A27,RELACIONAMENTOS!A:C,2,0)</f>
        <v>ATOTAL</v>
      </c>
      <c r="L27" t="str">
        <f>VLOOKUP(A27,RELACIONAMENTOS!A:C,3,0)</f>
        <v>Simone</v>
      </c>
      <c r="M27" t="str">
        <f>VLOOKUP(B27,RELACIONAMENTOS!E:F,2,0)</f>
        <v>João</v>
      </c>
      <c r="N27" t="str">
        <f>VLOOKUP(B27,RELACIONAMENTOS!H:I,2,0)</f>
        <v>Daniel</v>
      </c>
      <c r="O27">
        <f>VLOOKUP(A27,RELACIONAMENTOS!K:L,2,0)</f>
        <v>78912345678</v>
      </c>
      <c r="P27">
        <f>VLOOKUP(B27,RELACIONAMENTOS!N:O,2,0)</f>
        <v>90</v>
      </c>
      <c r="Q27" s="82" t="str">
        <f t="shared" si="5"/>
        <v>Não atingida</v>
      </c>
      <c r="R27" s="80" t="str">
        <f t="shared" si="6"/>
        <v>Não atingida</v>
      </c>
      <c r="S27" t="str">
        <f t="shared" si="7"/>
        <v>Não</v>
      </c>
      <c r="T27" t="str">
        <f t="shared" si="8"/>
        <v>Não</v>
      </c>
      <c r="U27" s="80">
        <f>IF(E27&gt;=500,0,VLOOKUP(B27,RELACIONAMENTOS!N:O,2,0))</f>
        <v>90</v>
      </c>
      <c r="V27" s="83">
        <f t="shared" si="9"/>
        <v>0.02</v>
      </c>
      <c r="W27" s="84">
        <f>VLOOKUP(E27,RELACIONAMENTOS!$Q$1:$S$11,3,1)</f>
        <v>0.02</v>
      </c>
    </row>
    <row r="28" spans="1:23" x14ac:dyDescent="0.25">
      <c r="A28" s="56" t="s">
        <v>6</v>
      </c>
      <c r="B28" s="45" t="s">
        <v>5</v>
      </c>
      <c r="C28" s="45">
        <v>420</v>
      </c>
      <c r="D28" s="46">
        <v>3.5</v>
      </c>
      <c r="E28" s="47">
        <f t="shared" si="0"/>
        <v>1470</v>
      </c>
      <c r="F28" s="48">
        <v>40948</v>
      </c>
      <c r="G28" s="79" t="str">
        <f t="shared" si="1"/>
        <v>fevereiro</v>
      </c>
      <c r="H28">
        <f t="shared" si="2"/>
        <v>2012</v>
      </c>
      <c r="I28" s="81" t="str">
        <f t="shared" si="3"/>
        <v>fevereiro/2012</v>
      </c>
      <c r="J28" s="80" t="str">
        <f t="shared" si="4"/>
        <v>quinta-feira</v>
      </c>
      <c r="K28" t="str">
        <f>VLOOKUP(A28,RELACIONAMENTOS!A:C,2,0)</f>
        <v>ATOTAL</v>
      </c>
      <c r="L28" t="str">
        <f>VLOOKUP(A28,RELACIONAMENTOS!A:C,3,0)</f>
        <v>Simone</v>
      </c>
      <c r="M28" t="str">
        <f>VLOOKUP(B28,RELACIONAMENTOS!E:F,2,0)</f>
        <v>João</v>
      </c>
      <c r="N28" t="str">
        <f>VLOOKUP(B28,RELACIONAMENTOS!H:I,2,0)</f>
        <v>Daniel</v>
      </c>
      <c r="O28">
        <f>VLOOKUP(A28,RELACIONAMENTOS!K:L,2,0)</f>
        <v>78912345678</v>
      </c>
      <c r="P28">
        <f>VLOOKUP(B28,RELACIONAMENTOS!N:O,2,0)</f>
        <v>90</v>
      </c>
      <c r="Q28" s="82" t="str">
        <f t="shared" si="5"/>
        <v>Meta atingida</v>
      </c>
      <c r="R28" s="80" t="str">
        <f t="shared" si="6"/>
        <v>Meta atingida</v>
      </c>
      <c r="S28" t="str">
        <f t="shared" si="7"/>
        <v>Sim</v>
      </c>
      <c r="T28" t="str">
        <f t="shared" si="8"/>
        <v>Sim</v>
      </c>
      <c r="U28" s="80">
        <f>IF(E28&gt;=500,0,VLOOKUP(B28,RELACIONAMENTOS!N:O,2,0))</f>
        <v>0</v>
      </c>
      <c r="V28" s="83">
        <f t="shared" si="9"/>
        <v>0.1</v>
      </c>
      <c r="W28" s="84">
        <f>VLOOKUP(E28,RELACIONAMENTOS!$Q$1:$S$11,3,1)</f>
        <v>0.08</v>
      </c>
    </row>
    <row r="29" spans="1:23" x14ac:dyDescent="0.25">
      <c r="A29" s="45" t="s">
        <v>6</v>
      </c>
      <c r="B29" s="45" t="s">
        <v>5</v>
      </c>
      <c r="C29" s="45">
        <v>203</v>
      </c>
      <c r="D29" s="46">
        <v>3.5</v>
      </c>
      <c r="E29" s="47">
        <f t="shared" si="0"/>
        <v>710.5</v>
      </c>
      <c r="F29" s="48">
        <v>40947</v>
      </c>
      <c r="G29" s="79" t="str">
        <f t="shared" si="1"/>
        <v>fevereiro</v>
      </c>
      <c r="H29">
        <f t="shared" si="2"/>
        <v>2012</v>
      </c>
      <c r="I29" s="81" t="str">
        <f t="shared" si="3"/>
        <v>fevereiro/2012</v>
      </c>
      <c r="J29" s="80" t="str">
        <f t="shared" si="4"/>
        <v>quarta-feira</v>
      </c>
      <c r="K29" t="str">
        <f>VLOOKUP(A29,RELACIONAMENTOS!A:C,2,0)</f>
        <v>ATOTAL</v>
      </c>
      <c r="L29" t="str">
        <f>VLOOKUP(A29,RELACIONAMENTOS!A:C,3,0)</f>
        <v>Simone</v>
      </c>
      <c r="M29" t="str">
        <f>VLOOKUP(B29,RELACIONAMENTOS!E:F,2,0)</f>
        <v>João</v>
      </c>
      <c r="N29" t="str">
        <f>VLOOKUP(B29,RELACIONAMENTOS!H:I,2,0)</f>
        <v>Daniel</v>
      </c>
      <c r="O29">
        <f>VLOOKUP(A29,RELACIONAMENTOS!K:L,2,0)</f>
        <v>78912345678</v>
      </c>
      <c r="P29">
        <f>VLOOKUP(B29,RELACIONAMENTOS!N:O,2,0)</f>
        <v>90</v>
      </c>
      <c r="Q29" s="82" t="str">
        <f t="shared" si="5"/>
        <v>Meta atingida</v>
      </c>
      <c r="R29" s="80" t="str">
        <f t="shared" si="6"/>
        <v>Não atingida</v>
      </c>
      <c r="S29" t="str">
        <f t="shared" si="7"/>
        <v>Sim</v>
      </c>
      <c r="T29" t="str">
        <f t="shared" si="8"/>
        <v>Não</v>
      </c>
      <c r="U29" s="80">
        <f>IF(E29&gt;=500,0,VLOOKUP(B29,RELACIONAMENTOS!N:O,2,0))</f>
        <v>0</v>
      </c>
      <c r="V29" s="83">
        <f t="shared" si="9"/>
        <v>0.04</v>
      </c>
      <c r="W29" s="84">
        <f>VLOOKUP(E29,RELACIONAMENTOS!$Q$1:$S$11,3,1)</f>
        <v>0.04</v>
      </c>
    </row>
    <row r="30" spans="1:23" x14ac:dyDescent="0.25">
      <c r="A30" s="45" t="s">
        <v>6</v>
      </c>
      <c r="B30" s="45" t="s">
        <v>5</v>
      </c>
      <c r="C30" s="45">
        <v>110</v>
      </c>
      <c r="D30" s="46">
        <v>1.5</v>
      </c>
      <c r="E30" s="47">
        <f t="shared" si="0"/>
        <v>165</v>
      </c>
      <c r="F30" s="48">
        <v>40946</v>
      </c>
      <c r="G30" s="79" t="str">
        <f t="shared" si="1"/>
        <v>fevereiro</v>
      </c>
      <c r="H30">
        <f t="shared" si="2"/>
        <v>2012</v>
      </c>
      <c r="I30" s="81" t="str">
        <f t="shared" si="3"/>
        <v>fevereiro/2012</v>
      </c>
      <c r="J30" s="80" t="str">
        <f t="shared" si="4"/>
        <v>terça-feira</v>
      </c>
      <c r="K30" t="str">
        <f>VLOOKUP(A30,RELACIONAMENTOS!A:C,2,0)</f>
        <v>ATOTAL</v>
      </c>
      <c r="L30" t="str">
        <f>VLOOKUP(A30,RELACIONAMENTOS!A:C,3,0)</f>
        <v>Simone</v>
      </c>
      <c r="M30" t="str">
        <f>VLOOKUP(B30,RELACIONAMENTOS!E:F,2,0)</f>
        <v>João</v>
      </c>
      <c r="N30" t="str">
        <f>VLOOKUP(B30,RELACIONAMENTOS!H:I,2,0)</f>
        <v>Daniel</v>
      </c>
      <c r="O30">
        <f>VLOOKUP(A30,RELACIONAMENTOS!K:L,2,0)</f>
        <v>78912345678</v>
      </c>
      <c r="P30">
        <f>VLOOKUP(B30,RELACIONAMENTOS!N:O,2,0)</f>
        <v>90</v>
      </c>
      <c r="Q30" s="82" t="str">
        <f t="shared" si="5"/>
        <v>Não atingida</v>
      </c>
      <c r="R30" s="80" t="str">
        <f t="shared" si="6"/>
        <v>Não atingida</v>
      </c>
      <c r="S30" t="str">
        <f t="shared" si="7"/>
        <v>Não</v>
      </c>
      <c r="T30" t="str">
        <f t="shared" si="8"/>
        <v>Não</v>
      </c>
      <c r="U30" s="80">
        <f>IF(E30&gt;=500,0,VLOOKUP(B30,RELACIONAMENTOS!N:O,2,0))</f>
        <v>90</v>
      </c>
      <c r="V30" s="83">
        <f t="shared" si="9"/>
        <v>0.01</v>
      </c>
      <c r="W30" s="84">
        <f>VLOOKUP(E30,RELACIONAMENTOS!$Q$1:$S$11,3,1)</f>
        <v>0.01</v>
      </c>
    </row>
    <row r="31" spans="1:23" x14ac:dyDescent="0.25">
      <c r="A31" s="45" t="s">
        <v>6</v>
      </c>
      <c r="B31" s="45" t="s">
        <v>5</v>
      </c>
      <c r="C31" s="45">
        <v>110</v>
      </c>
      <c r="D31" s="46">
        <v>1.5</v>
      </c>
      <c r="E31" s="47">
        <f t="shared" si="0"/>
        <v>165</v>
      </c>
      <c r="F31" s="48">
        <v>40945</v>
      </c>
      <c r="G31" s="79" t="str">
        <f t="shared" si="1"/>
        <v>fevereiro</v>
      </c>
      <c r="H31">
        <f t="shared" si="2"/>
        <v>2012</v>
      </c>
      <c r="I31" s="81" t="str">
        <f t="shared" si="3"/>
        <v>fevereiro/2012</v>
      </c>
      <c r="J31" s="80" t="str">
        <f t="shared" si="4"/>
        <v>segunda-feira</v>
      </c>
      <c r="K31" t="str">
        <f>VLOOKUP(A31,RELACIONAMENTOS!A:C,2,0)</f>
        <v>ATOTAL</v>
      </c>
      <c r="L31" t="str">
        <f>VLOOKUP(A31,RELACIONAMENTOS!A:C,3,0)</f>
        <v>Simone</v>
      </c>
      <c r="M31" t="str">
        <f>VLOOKUP(B31,RELACIONAMENTOS!E:F,2,0)</f>
        <v>João</v>
      </c>
      <c r="N31" t="str">
        <f>VLOOKUP(B31,RELACIONAMENTOS!H:I,2,0)</f>
        <v>Daniel</v>
      </c>
      <c r="O31">
        <f>VLOOKUP(A31,RELACIONAMENTOS!K:L,2,0)</f>
        <v>78912345678</v>
      </c>
      <c r="P31">
        <f>VLOOKUP(B31,RELACIONAMENTOS!N:O,2,0)</f>
        <v>90</v>
      </c>
      <c r="Q31" s="82" t="str">
        <f t="shared" si="5"/>
        <v>Não atingida</v>
      </c>
      <c r="R31" s="80" t="str">
        <f t="shared" si="6"/>
        <v>Não atingida</v>
      </c>
      <c r="S31" t="str">
        <f t="shared" si="7"/>
        <v>Não</v>
      </c>
      <c r="T31" t="str">
        <f t="shared" si="8"/>
        <v>Não</v>
      </c>
      <c r="U31" s="80">
        <f>IF(E31&gt;=500,0,VLOOKUP(B31,RELACIONAMENTOS!N:O,2,0))</f>
        <v>90</v>
      </c>
      <c r="V31" s="83">
        <f t="shared" si="9"/>
        <v>0.01</v>
      </c>
      <c r="W31" s="84">
        <f>VLOOKUP(E31,RELACIONAMENTOS!$Q$1:$S$11,3,1)</f>
        <v>0.01</v>
      </c>
    </row>
    <row r="32" spans="1:23" x14ac:dyDescent="0.25">
      <c r="A32" s="45" t="s">
        <v>6</v>
      </c>
      <c r="B32" s="45" t="s">
        <v>5</v>
      </c>
      <c r="C32" s="45">
        <v>102</v>
      </c>
      <c r="D32" s="46">
        <v>1.5</v>
      </c>
      <c r="E32" s="47">
        <f t="shared" si="0"/>
        <v>153</v>
      </c>
      <c r="F32" s="48">
        <v>40944</v>
      </c>
      <c r="G32" s="79" t="str">
        <f t="shared" si="1"/>
        <v>fevereiro</v>
      </c>
      <c r="H32">
        <f t="shared" si="2"/>
        <v>2012</v>
      </c>
      <c r="I32" s="81" t="str">
        <f t="shared" si="3"/>
        <v>fevereiro/2012</v>
      </c>
      <c r="J32" s="80" t="str">
        <f t="shared" si="4"/>
        <v>domingo</v>
      </c>
      <c r="K32" t="str">
        <f>VLOOKUP(A32,RELACIONAMENTOS!A:C,2,0)</f>
        <v>ATOTAL</v>
      </c>
      <c r="L32" t="str">
        <f>VLOOKUP(A32,RELACIONAMENTOS!A:C,3,0)</f>
        <v>Simone</v>
      </c>
      <c r="M32" t="str">
        <f>VLOOKUP(B32,RELACIONAMENTOS!E:F,2,0)</f>
        <v>João</v>
      </c>
      <c r="N32" t="str">
        <f>VLOOKUP(B32,RELACIONAMENTOS!H:I,2,0)</f>
        <v>Daniel</v>
      </c>
      <c r="O32">
        <f>VLOOKUP(A32,RELACIONAMENTOS!K:L,2,0)</f>
        <v>78912345678</v>
      </c>
      <c r="P32">
        <f>VLOOKUP(B32,RELACIONAMENTOS!N:O,2,0)</f>
        <v>90</v>
      </c>
      <c r="Q32" s="82" t="str">
        <f t="shared" si="5"/>
        <v>Não atingida</v>
      </c>
      <c r="R32" s="80" t="str">
        <f t="shared" si="6"/>
        <v>Não atingida</v>
      </c>
      <c r="S32" t="str">
        <f t="shared" si="7"/>
        <v>Não</v>
      </c>
      <c r="T32" t="str">
        <f t="shared" si="8"/>
        <v>Não</v>
      </c>
      <c r="U32" s="80">
        <f>IF(E32&gt;=500,0,VLOOKUP(B32,RELACIONAMENTOS!N:O,2,0))</f>
        <v>90</v>
      </c>
      <c r="V32" s="83">
        <f t="shared" si="9"/>
        <v>0.01</v>
      </c>
      <c r="W32" s="84">
        <f>VLOOKUP(E32,RELACIONAMENTOS!$Q$1:$S$11,3,1)</f>
        <v>0.01</v>
      </c>
    </row>
    <row r="33" spans="1:23" x14ac:dyDescent="0.25">
      <c r="A33" s="45" t="s">
        <v>43</v>
      </c>
      <c r="B33" s="45" t="s">
        <v>5</v>
      </c>
      <c r="C33" s="45">
        <v>100</v>
      </c>
      <c r="D33" s="46">
        <v>1.5</v>
      </c>
      <c r="E33" s="47">
        <f t="shared" si="0"/>
        <v>150</v>
      </c>
      <c r="F33" s="48">
        <v>40943</v>
      </c>
      <c r="G33" s="79" t="str">
        <f t="shared" si="1"/>
        <v>fevereiro</v>
      </c>
      <c r="H33">
        <f t="shared" si="2"/>
        <v>2012</v>
      </c>
      <c r="I33" s="81" t="str">
        <f t="shared" si="3"/>
        <v>fevereiro/2012</v>
      </c>
      <c r="J33" s="80" t="str">
        <f t="shared" si="4"/>
        <v>sábado</v>
      </c>
      <c r="K33" t="str">
        <f>VLOOKUP(A33,RELACIONAMENTOS!A:C,2,0)</f>
        <v>ATOTAL</v>
      </c>
      <c r="L33" t="str">
        <f>VLOOKUP(A33,RELACIONAMENTOS!A:C,3,0)</f>
        <v>Simone</v>
      </c>
      <c r="M33" t="str">
        <f>VLOOKUP(B33,RELACIONAMENTOS!E:F,2,0)</f>
        <v>João</v>
      </c>
      <c r="N33" t="str">
        <f>VLOOKUP(B33,RELACIONAMENTOS!H:I,2,0)</f>
        <v>Daniel</v>
      </c>
      <c r="O33">
        <f>VLOOKUP(A33,RELACIONAMENTOS!K:L,2,0)</f>
        <v>78912345678</v>
      </c>
      <c r="P33">
        <f>VLOOKUP(B33,RELACIONAMENTOS!N:O,2,0)</f>
        <v>90</v>
      </c>
      <c r="Q33" s="82" t="str">
        <f t="shared" si="5"/>
        <v>Não atingida</v>
      </c>
      <c r="R33" s="80" t="str">
        <f t="shared" si="6"/>
        <v>Não atingida</v>
      </c>
      <c r="S33" t="str">
        <f t="shared" si="7"/>
        <v>Não</v>
      </c>
      <c r="T33" t="str">
        <f t="shared" si="8"/>
        <v>Não</v>
      </c>
      <c r="U33" s="80">
        <f>IF(E33&gt;=500,0,VLOOKUP(B33,RELACIONAMENTOS!N:O,2,0))</f>
        <v>90</v>
      </c>
      <c r="V33" s="83">
        <f t="shared" si="9"/>
        <v>0.01</v>
      </c>
      <c r="W33" s="84">
        <f>VLOOKUP(E33,RELACIONAMENTOS!$Q$1:$S$11,3,1)</f>
        <v>0.01</v>
      </c>
    </row>
    <row r="34" spans="1:23" x14ac:dyDescent="0.25">
      <c r="A34" s="56" t="s">
        <v>6</v>
      </c>
      <c r="B34" s="45" t="s">
        <v>5</v>
      </c>
      <c r="C34" s="45">
        <v>100</v>
      </c>
      <c r="D34" s="46">
        <v>3.5</v>
      </c>
      <c r="E34" s="47">
        <f t="shared" ref="E34:E65" si="10">C34*D34</f>
        <v>350</v>
      </c>
      <c r="F34" s="48">
        <v>40942</v>
      </c>
      <c r="G34" s="79" t="str">
        <f t="shared" si="1"/>
        <v>fevereiro</v>
      </c>
      <c r="H34">
        <f t="shared" si="2"/>
        <v>2012</v>
      </c>
      <c r="I34" s="81" t="str">
        <f t="shared" si="3"/>
        <v>fevereiro/2012</v>
      </c>
      <c r="J34" s="80" t="str">
        <f t="shared" si="4"/>
        <v>sexta-feira</v>
      </c>
      <c r="K34" t="str">
        <f>VLOOKUP(A34,RELACIONAMENTOS!A:C,2,0)</f>
        <v>ATOTAL</v>
      </c>
      <c r="L34" t="str">
        <f>VLOOKUP(A34,RELACIONAMENTOS!A:C,3,0)</f>
        <v>Simone</v>
      </c>
      <c r="M34" t="str">
        <f>VLOOKUP(B34,RELACIONAMENTOS!E:F,2,0)</f>
        <v>João</v>
      </c>
      <c r="N34" t="str">
        <f>VLOOKUP(B34,RELACIONAMENTOS!H:I,2,0)</f>
        <v>Daniel</v>
      </c>
      <c r="O34">
        <f>VLOOKUP(A34,RELACIONAMENTOS!K:L,2,0)</f>
        <v>78912345678</v>
      </c>
      <c r="P34">
        <f>VLOOKUP(B34,RELACIONAMENTOS!N:O,2,0)</f>
        <v>90</v>
      </c>
      <c r="Q34" s="82" t="str">
        <f t="shared" si="5"/>
        <v>Não atingida</v>
      </c>
      <c r="R34" s="80" t="str">
        <f t="shared" si="6"/>
        <v>Não atingida</v>
      </c>
      <c r="S34" t="str">
        <f t="shared" si="7"/>
        <v>Não</v>
      </c>
      <c r="T34" t="str">
        <f t="shared" si="8"/>
        <v>Não</v>
      </c>
      <c r="U34" s="80">
        <f>IF(E34&gt;=500,0,VLOOKUP(B34,RELACIONAMENTOS!N:O,2,0))</f>
        <v>90</v>
      </c>
      <c r="V34" s="83">
        <f t="shared" si="9"/>
        <v>0.02</v>
      </c>
      <c r="W34" s="84">
        <f>VLOOKUP(E34,RELACIONAMENTOS!$Q$1:$S$11,3,1)</f>
        <v>0.02</v>
      </c>
    </row>
    <row r="35" spans="1:23" x14ac:dyDescent="0.25">
      <c r="A35" s="45" t="s">
        <v>43</v>
      </c>
      <c r="B35" s="45" t="s">
        <v>5</v>
      </c>
      <c r="C35" s="45">
        <v>100</v>
      </c>
      <c r="D35" s="46">
        <v>3.5</v>
      </c>
      <c r="E35" s="47">
        <f t="shared" si="10"/>
        <v>350</v>
      </c>
      <c r="F35" s="48">
        <v>40941</v>
      </c>
      <c r="G35" s="79" t="str">
        <f t="shared" si="1"/>
        <v>fevereiro</v>
      </c>
      <c r="H35">
        <f t="shared" si="2"/>
        <v>2012</v>
      </c>
      <c r="I35" s="81" t="str">
        <f t="shared" si="3"/>
        <v>fevereiro/2012</v>
      </c>
      <c r="J35" s="80" t="str">
        <f t="shared" si="4"/>
        <v>quinta-feira</v>
      </c>
      <c r="K35" t="str">
        <f>VLOOKUP(A35,RELACIONAMENTOS!A:C,2,0)</f>
        <v>ATOTAL</v>
      </c>
      <c r="L35" t="str">
        <f>VLOOKUP(A35,RELACIONAMENTOS!A:C,3,0)</f>
        <v>Simone</v>
      </c>
      <c r="M35" t="str">
        <f>VLOOKUP(B35,RELACIONAMENTOS!E:F,2,0)</f>
        <v>João</v>
      </c>
      <c r="N35" t="str">
        <f>VLOOKUP(B35,RELACIONAMENTOS!H:I,2,0)</f>
        <v>Daniel</v>
      </c>
      <c r="O35">
        <f>VLOOKUP(A35,RELACIONAMENTOS!K:L,2,0)</f>
        <v>78912345678</v>
      </c>
      <c r="P35">
        <f>VLOOKUP(B35,RELACIONAMENTOS!N:O,2,0)</f>
        <v>90</v>
      </c>
      <c r="Q35" s="82" t="str">
        <f t="shared" si="5"/>
        <v>Não atingida</v>
      </c>
      <c r="R35" s="80" t="str">
        <f t="shared" si="6"/>
        <v>Não atingida</v>
      </c>
      <c r="S35" t="str">
        <f t="shared" si="7"/>
        <v>Não</v>
      </c>
      <c r="T35" t="str">
        <f t="shared" si="8"/>
        <v>Não</v>
      </c>
      <c r="U35" s="80">
        <f>IF(E35&gt;=500,0,VLOOKUP(B35,RELACIONAMENTOS!N:O,2,0))</f>
        <v>90</v>
      </c>
      <c r="V35" s="83">
        <f t="shared" si="9"/>
        <v>0.02</v>
      </c>
      <c r="W35" s="84">
        <f>VLOOKUP(E35,RELACIONAMENTOS!$Q$1:$S$11,3,1)</f>
        <v>0.02</v>
      </c>
    </row>
    <row r="36" spans="1:23" x14ac:dyDescent="0.25">
      <c r="A36" s="45" t="s">
        <v>271</v>
      </c>
      <c r="B36" s="45" t="s">
        <v>4</v>
      </c>
      <c r="C36" s="45">
        <v>500</v>
      </c>
      <c r="D36" s="46">
        <v>1.5</v>
      </c>
      <c r="E36" s="47">
        <f t="shared" si="10"/>
        <v>750</v>
      </c>
      <c r="F36" s="48">
        <v>40940</v>
      </c>
      <c r="G36" s="79" t="str">
        <f t="shared" si="1"/>
        <v>fevereiro</v>
      </c>
      <c r="H36">
        <f t="shared" si="2"/>
        <v>2012</v>
      </c>
      <c r="I36" s="81" t="str">
        <f t="shared" si="3"/>
        <v>fevereiro/2012</v>
      </c>
      <c r="J36" s="80" t="str">
        <f t="shared" si="4"/>
        <v>quarta-feira</v>
      </c>
      <c r="K36" t="str">
        <f>VLOOKUP(A36,RELACIONAMENTOS!A:C,2,0)</f>
        <v>Coopercarga</v>
      </c>
      <c r="L36" t="str">
        <f>VLOOKUP(A36,RELACIONAMENTOS!A:C,3,0)</f>
        <v>Fernando</v>
      </c>
      <c r="M36" t="str">
        <f>VLOOKUP(B36,RELACIONAMENTOS!E:F,2,0)</f>
        <v>Maria</v>
      </c>
      <c r="N36" t="str">
        <f>VLOOKUP(B36,RELACIONAMENTOS!H:I,2,0)</f>
        <v>Raquel</v>
      </c>
      <c r="O36">
        <f>VLOOKUP(A36,RELACIONAMENTOS!K:L,2,0)</f>
        <v>7891234567</v>
      </c>
      <c r="P36">
        <f>VLOOKUP(B36,RELACIONAMENTOS!N:O,2,0)</f>
        <v>150</v>
      </c>
      <c r="Q36" s="82" t="str">
        <f t="shared" si="5"/>
        <v>Meta atingida</v>
      </c>
      <c r="R36" s="80" t="str">
        <f t="shared" si="6"/>
        <v>Meta atingida</v>
      </c>
      <c r="S36" t="str">
        <f t="shared" si="7"/>
        <v>Sim</v>
      </c>
      <c r="T36" t="str">
        <f t="shared" si="8"/>
        <v>Sim</v>
      </c>
      <c r="U36" s="80">
        <f>IF(E36&gt;=500,0,VLOOKUP(B36,RELACIONAMENTOS!N:O,2,0))</f>
        <v>0</v>
      </c>
      <c r="V36" s="83">
        <f t="shared" si="9"/>
        <v>0.04</v>
      </c>
      <c r="W36" s="84">
        <f>VLOOKUP(E36,RELACIONAMENTOS!$Q$1:$S$11,3,1)</f>
        <v>0.04</v>
      </c>
    </row>
    <row r="37" spans="1:23" x14ac:dyDescent="0.25">
      <c r="A37" s="45" t="s">
        <v>271</v>
      </c>
      <c r="B37" s="45" t="s">
        <v>4</v>
      </c>
      <c r="C37" s="45">
        <v>20</v>
      </c>
      <c r="D37" s="46">
        <v>3</v>
      </c>
      <c r="E37" s="47">
        <f t="shared" si="10"/>
        <v>60</v>
      </c>
      <c r="F37" s="48">
        <v>40939</v>
      </c>
      <c r="G37" s="79" t="str">
        <f t="shared" si="1"/>
        <v>janeiro</v>
      </c>
      <c r="H37">
        <f t="shared" si="2"/>
        <v>2012</v>
      </c>
      <c r="I37" s="81" t="str">
        <f t="shared" si="3"/>
        <v>janeiro/2012</v>
      </c>
      <c r="J37" s="80" t="str">
        <f t="shared" si="4"/>
        <v>terça-feira</v>
      </c>
      <c r="K37" t="str">
        <f>VLOOKUP(A37,RELACIONAMENTOS!A:C,2,0)</f>
        <v>Coopercarga</v>
      </c>
      <c r="L37" t="str">
        <f>VLOOKUP(A37,RELACIONAMENTOS!A:C,3,0)</f>
        <v>Fernando</v>
      </c>
      <c r="M37" t="str">
        <f>VLOOKUP(B37,RELACIONAMENTOS!E:F,2,0)</f>
        <v>Maria</v>
      </c>
      <c r="N37" t="str">
        <f>VLOOKUP(B37,RELACIONAMENTOS!H:I,2,0)</f>
        <v>Raquel</v>
      </c>
      <c r="O37">
        <f>VLOOKUP(A37,RELACIONAMENTOS!K:L,2,0)</f>
        <v>7891234567</v>
      </c>
      <c r="P37">
        <f>VLOOKUP(B37,RELACIONAMENTOS!N:O,2,0)</f>
        <v>150</v>
      </c>
      <c r="Q37" s="82" t="str">
        <f t="shared" si="5"/>
        <v>Não atingida</v>
      </c>
      <c r="R37" s="80" t="str">
        <f t="shared" si="6"/>
        <v>Não atingida</v>
      </c>
      <c r="S37" t="str">
        <f t="shared" si="7"/>
        <v>Não</v>
      </c>
      <c r="T37" t="str">
        <f t="shared" si="8"/>
        <v>Não</v>
      </c>
      <c r="U37" s="80">
        <f>IF(E37&gt;=500,0,VLOOKUP(B37,RELACIONAMENTOS!N:O,2,0))</f>
        <v>150</v>
      </c>
      <c r="V37" s="83">
        <f t="shared" si="9"/>
        <v>0.01</v>
      </c>
      <c r="W37" s="84">
        <f>VLOOKUP(E37,RELACIONAMENTOS!$Q$1:$S$11,3,1)</f>
        <v>0.01</v>
      </c>
    </row>
    <row r="38" spans="1:23" x14ac:dyDescent="0.25">
      <c r="A38" s="45" t="s">
        <v>271</v>
      </c>
      <c r="B38" s="45" t="s">
        <v>4</v>
      </c>
      <c r="C38" s="45">
        <v>10</v>
      </c>
      <c r="D38" s="46">
        <v>3</v>
      </c>
      <c r="E38" s="47">
        <f t="shared" si="10"/>
        <v>30</v>
      </c>
      <c r="F38" s="48">
        <v>40938</v>
      </c>
      <c r="G38" s="79" t="str">
        <f t="shared" si="1"/>
        <v>janeiro</v>
      </c>
      <c r="H38">
        <f t="shared" si="2"/>
        <v>2012</v>
      </c>
      <c r="I38" s="81" t="str">
        <f t="shared" si="3"/>
        <v>janeiro/2012</v>
      </c>
      <c r="J38" s="80" t="str">
        <f t="shared" si="4"/>
        <v>segunda-feira</v>
      </c>
      <c r="K38" t="str">
        <f>VLOOKUP(A38,RELACIONAMENTOS!A:C,2,0)</f>
        <v>Coopercarga</v>
      </c>
      <c r="L38" t="str">
        <f>VLOOKUP(A38,RELACIONAMENTOS!A:C,3,0)</f>
        <v>Fernando</v>
      </c>
      <c r="M38" t="str">
        <f>VLOOKUP(B38,RELACIONAMENTOS!E:F,2,0)</f>
        <v>Maria</v>
      </c>
      <c r="N38" t="str">
        <f>VLOOKUP(B38,RELACIONAMENTOS!H:I,2,0)</f>
        <v>Raquel</v>
      </c>
      <c r="O38">
        <f>VLOOKUP(A38,RELACIONAMENTOS!K:L,2,0)</f>
        <v>7891234567</v>
      </c>
      <c r="P38">
        <f>VLOOKUP(B38,RELACIONAMENTOS!N:O,2,0)</f>
        <v>150</v>
      </c>
      <c r="Q38" s="82" t="str">
        <f t="shared" si="5"/>
        <v>Não atingida</v>
      </c>
      <c r="R38" s="80" t="str">
        <f t="shared" si="6"/>
        <v>Não atingida</v>
      </c>
      <c r="S38" t="str">
        <f t="shared" si="7"/>
        <v>Não</v>
      </c>
      <c r="T38" t="str">
        <f t="shared" si="8"/>
        <v>Não</v>
      </c>
      <c r="U38" s="80">
        <f>IF(E38&gt;=500,0,VLOOKUP(B38,RELACIONAMENTOS!N:O,2,0))</f>
        <v>150</v>
      </c>
      <c r="V38" s="83">
        <f t="shared" si="9"/>
        <v>0.01</v>
      </c>
      <c r="W38" s="84">
        <f>VLOOKUP(E38,RELACIONAMENTOS!$Q$1:$S$11,3,1)</f>
        <v>0.01</v>
      </c>
    </row>
    <row r="39" spans="1:23" x14ac:dyDescent="0.25">
      <c r="A39" s="45" t="s">
        <v>271</v>
      </c>
      <c r="B39" s="45" t="s">
        <v>4</v>
      </c>
      <c r="C39" s="45">
        <v>300</v>
      </c>
      <c r="D39" s="46">
        <v>3</v>
      </c>
      <c r="E39" s="47">
        <f t="shared" si="10"/>
        <v>900</v>
      </c>
      <c r="F39" s="48">
        <v>40937</v>
      </c>
      <c r="G39" s="79" t="str">
        <f t="shared" si="1"/>
        <v>janeiro</v>
      </c>
      <c r="H39">
        <f t="shared" si="2"/>
        <v>2012</v>
      </c>
      <c r="I39" s="81" t="str">
        <f t="shared" si="3"/>
        <v>janeiro/2012</v>
      </c>
      <c r="J39" s="80" t="str">
        <f t="shared" si="4"/>
        <v>domingo</v>
      </c>
      <c r="K39" t="str">
        <f>VLOOKUP(A39,RELACIONAMENTOS!A:C,2,0)</f>
        <v>Coopercarga</v>
      </c>
      <c r="L39" t="str">
        <f>VLOOKUP(A39,RELACIONAMENTOS!A:C,3,0)</f>
        <v>Fernando</v>
      </c>
      <c r="M39" t="str">
        <f>VLOOKUP(B39,RELACIONAMENTOS!E:F,2,0)</f>
        <v>Maria</v>
      </c>
      <c r="N39" t="str">
        <f>VLOOKUP(B39,RELACIONAMENTOS!H:I,2,0)</f>
        <v>Raquel</v>
      </c>
      <c r="O39">
        <f>VLOOKUP(A39,RELACIONAMENTOS!K:L,2,0)</f>
        <v>7891234567</v>
      </c>
      <c r="P39">
        <f>VLOOKUP(B39,RELACIONAMENTOS!N:O,2,0)</f>
        <v>150</v>
      </c>
      <c r="Q39" s="82" t="str">
        <f t="shared" si="5"/>
        <v>Meta atingida</v>
      </c>
      <c r="R39" s="80" t="str">
        <f t="shared" si="6"/>
        <v>Não atingida</v>
      </c>
      <c r="S39" t="str">
        <f t="shared" si="7"/>
        <v>Sim</v>
      </c>
      <c r="T39" t="str">
        <f t="shared" si="8"/>
        <v>Não</v>
      </c>
      <c r="U39" s="80">
        <f>IF(E39&gt;=500,0,VLOOKUP(B39,RELACIONAMENTOS!N:O,2,0))</f>
        <v>0</v>
      </c>
      <c r="V39" s="83">
        <f t="shared" si="9"/>
        <v>0.05</v>
      </c>
      <c r="W39" s="84">
        <f>VLOOKUP(E39,RELACIONAMENTOS!$Q$1:$S$11,3,1)</f>
        <v>0.05</v>
      </c>
    </row>
    <row r="40" spans="1:23" x14ac:dyDescent="0.25">
      <c r="A40" s="45" t="s">
        <v>271</v>
      </c>
      <c r="B40" s="45" t="s">
        <v>4</v>
      </c>
      <c r="C40" s="45">
        <v>100</v>
      </c>
      <c r="D40" s="46">
        <v>3.5</v>
      </c>
      <c r="E40" s="47">
        <f t="shared" si="10"/>
        <v>350</v>
      </c>
      <c r="F40" s="48">
        <v>40936</v>
      </c>
      <c r="G40" s="79" t="str">
        <f t="shared" si="1"/>
        <v>janeiro</v>
      </c>
      <c r="H40">
        <f t="shared" si="2"/>
        <v>2012</v>
      </c>
      <c r="I40" s="81" t="str">
        <f t="shared" si="3"/>
        <v>janeiro/2012</v>
      </c>
      <c r="J40" s="80" t="str">
        <f t="shared" si="4"/>
        <v>sábado</v>
      </c>
      <c r="K40" t="str">
        <f>VLOOKUP(A40,RELACIONAMENTOS!A:C,2,0)</f>
        <v>Coopercarga</v>
      </c>
      <c r="L40" t="str">
        <f>VLOOKUP(A40,RELACIONAMENTOS!A:C,3,0)</f>
        <v>Fernando</v>
      </c>
      <c r="M40" t="str">
        <f>VLOOKUP(B40,RELACIONAMENTOS!E:F,2,0)</f>
        <v>Maria</v>
      </c>
      <c r="N40" t="str">
        <f>VLOOKUP(B40,RELACIONAMENTOS!H:I,2,0)</f>
        <v>Raquel</v>
      </c>
      <c r="O40">
        <f>VLOOKUP(A40,RELACIONAMENTOS!K:L,2,0)</f>
        <v>7891234567</v>
      </c>
      <c r="P40">
        <f>VLOOKUP(B40,RELACIONAMENTOS!N:O,2,0)</f>
        <v>150</v>
      </c>
      <c r="Q40" s="82" t="str">
        <f t="shared" si="5"/>
        <v>Não atingida</v>
      </c>
      <c r="R40" s="80" t="str">
        <f t="shared" si="6"/>
        <v>Não atingida</v>
      </c>
      <c r="S40" t="str">
        <f t="shared" si="7"/>
        <v>Não</v>
      </c>
      <c r="T40" t="str">
        <f t="shared" si="8"/>
        <v>Não</v>
      </c>
      <c r="U40" s="80">
        <f>IF(E40&gt;=500,0,VLOOKUP(B40,RELACIONAMENTOS!N:O,2,0))</f>
        <v>150</v>
      </c>
      <c r="V40" s="83">
        <f t="shared" si="9"/>
        <v>0.02</v>
      </c>
      <c r="W40" s="84">
        <f>VLOOKUP(E40,RELACIONAMENTOS!$Q$1:$S$11,3,1)</f>
        <v>0.02</v>
      </c>
    </row>
    <row r="41" spans="1:23" x14ac:dyDescent="0.25">
      <c r="A41" s="45" t="s">
        <v>271</v>
      </c>
      <c r="B41" s="45" t="s">
        <v>4</v>
      </c>
      <c r="C41" s="45">
        <v>110</v>
      </c>
      <c r="D41" s="46">
        <v>1.5</v>
      </c>
      <c r="E41" s="47">
        <f t="shared" si="10"/>
        <v>165</v>
      </c>
      <c r="F41" s="48">
        <v>40935</v>
      </c>
      <c r="G41" s="79" t="str">
        <f t="shared" si="1"/>
        <v>janeiro</v>
      </c>
      <c r="H41">
        <f t="shared" si="2"/>
        <v>2012</v>
      </c>
      <c r="I41" s="81" t="str">
        <f t="shared" si="3"/>
        <v>janeiro/2012</v>
      </c>
      <c r="J41" s="80" t="str">
        <f t="shared" si="4"/>
        <v>sexta-feira</v>
      </c>
      <c r="K41" t="str">
        <f>VLOOKUP(A41,RELACIONAMENTOS!A:C,2,0)</f>
        <v>Coopercarga</v>
      </c>
      <c r="L41" t="str">
        <f>VLOOKUP(A41,RELACIONAMENTOS!A:C,3,0)</f>
        <v>Fernando</v>
      </c>
      <c r="M41" t="str">
        <f>VLOOKUP(B41,RELACIONAMENTOS!E:F,2,0)</f>
        <v>Maria</v>
      </c>
      <c r="N41" t="str">
        <f>VLOOKUP(B41,RELACIONAMENTOS!H:I,2,0)</f>
        <v>Raquel</v>
      </c>
      <c r="O41">
        <f>VLOOKUP(A41,RELACIONAMENTOS!K:L,2,0)</f>
        <v>7891234567</v>
      </c>
      <c r="P41">
        <f>VLOOKUP(B41,RELACIONAMENTOS!N:O,2,0)</f>
        <v>150</v>
      </c>
      <c r="Q41" s="82" t="str">
        <f t="shared" si="5"/>
        <v>Não atingida</v>
      </c>
      <c r="R41" s="80" t="str">
        <f t="shared" si="6"/>
        <v>Não atingida</v>
      </c>
      <c r="S41" t="str">
        <f t="shared" si="7"/>
        <v>Não</v>
      </c>
      <c r="T41" t="str">
        <f t="shared" si="8"/>
        <v>Não</v>
      </c>
      <c r="U41" s="80">
        <f>IF(E41&gt;=500,0,VLOOKUP(B41,RELACIONAMENTOS!N:O,2,0))</f>
        <v>150</v>
      </c>
      <c r="V41" s="83">
        <f t="shared" si="9"/>
        <v>0.01</v>
      </c>
      <c r="W41" s="84">
        <f>VLOOKUP(E41,RELACIONAMENTOS!$Q$1:$S$11,3,1)</f>
        <v>0.01</v>
      </c>
    </row>
    <row r="42" spans="1:23" x14ac:dyDescent="0.25">
      <c r="A42" s="45" t="s">
        <v>271</v>
      </c>
      <c r="B42" s="45" t="s">
        <v>4</v>
      </c>
      <c r="C42" s="45">
        <v>344</v>
      </c>
      <c r="D42" s="46">
        <v>3</v>
      </c>
      <c r="E42" s="47">
        <f t="shared" si="10"/>
        <v>1032</v>
      </c>
      <c r="F42" s="48">
        <v>40934</v>
      </c>
      <c r="G42" s="79" t="str">
        <f t="shared" si="1"/>
        <v>janeiro</v>
      </c>
      <c r="H42">
        <f t="shared" si="2"/>
        <v>2012</v>
      </c>
      <c r="I42" s="81" t="str">
        <f t="shared" si="3"/>
        <v>janeiro/2012</v>
      </c>
      <c r="J42" s="80" t="str">
        <f t="shared" si="4"/>
        <v>quinta-feira</v>
      </c>
      <c r="K42" t="str">
        <f>VLOOKUP(A42,RELACIONAMENTOS!A:C,2,0)</f>
        <v>Coopercarga</v>
      </c>
      <c r="L42" t="str">
        <f>VLOOKUP(A42,RELACIONAMENTOS!A:C,3,0)</f>
        <v>Fernando</v>
      </c>
      <c r="M42" t="str">
        <f>VLOOKUP(B42,RELACIONAMENTOS!E:F,2,0)</f>
        <v>Maria</v>
      </c>
      <c r="N42" t="str">
        <f>VLOOKUP(B42,RELACIONAMENTOS!H:I,2,0)</f>
        <v>Raquel</v>
      </c>
      <c r="O42">
        <f>VLOOKUP(A42,RELACIONAMENTOS!K:L,2,0)</f>
        <v>7891234567</v>
      </c>
      <c r="P42">
        <f>VLOOKUP(B42,RELACIONAMENTOS!N:O,2,0)</f>
        <v>150</v>
      </c>
      <c r="Q42" s="82" t="str">
        <f t="shared" si="5"/>
        <v>Meta atingida</v>
      </c>
      <c r="R42" s="80" t="str">
        <f t="shared" si="6"/>
        <v>Meta atingida</v>
      </c>
      <c r="S42" t="str">
        <f t="shared" si="7"/>
        <v>Sim</v>
      </c>
      <c r="T42" t="str">
        <f t="shared" si="8"/>
        <v>Sim</v>
      </c>
      <c r="U42" s="80">
        <f>IF(E42&gt;=500,0,VLOOKUP(B42,RELACIONAMENTOS!N:O,2,0))</f>
        <v>0</v>
      </c>
      <c r="V42" s="83">
        <f t="shared" si="9"/>
        <v>0.1</v>
      </c>
      <c r="W42" s="84">
        <f>VLOOKUP(E42,RELACIONAMENTOS!$Q$1:$S$11,3,1)</f>
        <v>0.06</v>
      </c>
    </row>
    <row r="43" spans="1:23" x14ac:dyDescent="0.25">
      <c r="A43" s="45" t="s">
        <v>271</v>
      </c>
      <c r="B43" s="45" t="s">
        <v>4</v>
      </c>
      <c r="C43" s="45">
        <v>300</v>
      </c>
      <c r="D43" s="46">
        <v>3.5</v>
      </c>
      <c r="E43" s="47">
        <f t="shared" si="10"/>
        <v>1050</v>
      </c>
      <c r="F43" s="48">
        <v>40933</v>
      </c>
      <c r="G43" s="79" t="str">
        <f t="shared" si="1"/>
        <v>janeiro</v>
      </c>
      <c r="H43">
        <f t="shared" si="2"/>
        <v>2012</v>
      </c>
      <c r="I43" s="81" t="str">
        <f t="shared" si="3"/>
        <v>janeiro/2012</v>
      </c>
      <c r="J43" s="80" t="str">
        <f t="shared" si="4"/>
        <v>quarta-feira</v>
      </c>
      <c r="K43" t="str">
        <f>VLOOKUP(A43,RELACIONAMENTOS!A:C,2,0)</f>
        <v>Coopercarga</v>
      </c>
      <c r="L43" t="str">
        <f>VLOOKUP(A43,RELACIONAMENTOS!A:C,3,0)</f>
        <v>Fernando</v>
      </c>
      <c r="M43" t="str">
        <f>VLOOKUP(B43,RELACIONAMENTOS!E:F,2,0)</f>
        <v>Maria</v>
      </c>
      <c r="N43" t="str">
        <f>VLOOKUP(B43,RELACIONAMENTOS!H:I,2,0)</f>
        <v>Raquel</v>
      </c>
      <c r="O43">
        <f>VLOOKUP(A43,RELACIONAMENTOS!K:L,2,0)</f>
        <v>7891234567</v>
      </c>
      <c r="P43">
        <f>VLOOKUP(B43,RELACIONAMENTOS!N:O,2,0)</f>
        <v>150</v>
      </c>
      <c r="Q43" s="82" t="str">
        <f t="shared" si="5"/>
        <v>Meta atingida</v>
      </c>
      <c r="R43" s="80" t="str">
        <f t="shared" si="6"/>
        <v>Não atingida</v>
      </c>
      <c r="S43" t="str">
        <f t="shared" si="7"/>
        <v>Sim</v>
      </c>
      <c r="T43" t="str">
        <f t="shared" si="8"/>
        <v>Não</v>
      </c>
      <c r="U43" s="80">
        <f>IF(E43&gt;=500,0,VLOOKUP(B43,RELACIONAMENTOS!N:O,2,0))</f>
        <v>0</v>
      </c>
      <c r="V43" s="83">
        <f t="shared" si="9"/>
        <v>0.1</v>
      </c>
      <c r="W43" s="84">
        <f>VLOOKUP(E43,RELACIONAMENTOS!$Q$1:$S$11,3,1)</f>
        <v>0.06</v>
      </c>
    </row>
    <row r="44" spans="1:23" x14ac:dyDescent="0.25">
      <c r="A44" s="45" t="s">
        <v>271</v>
      </c>
      <c r="B44" s="45" t="s">
        <v>4</v>
      </c>
      <c r="C44" s="45">
        <v>300</v>
      </c>
      <c r="D44" s="46">
        <v>3</v>
      </c>
      <c r="E44" s="47">
        <f t="shared" si="10"/>
        <v>900</v>
      </c>
      <c r="F44" s="48">
        <v>40932</v>
      </c>
      <c r="G44" s="79" t="str">
        <f t="shared" si="1"/>
        <v>janeiro</v>
      </c>
      <c r="H44">
        <f t="shared" si="2"/>
        <v>2012</v>
      </c>
      <c r="I44" s="81" t="str">
        <f t="shared" si="3"/>
        <v>janeiro/2012</v>
      </c>
      <c r="J44" s="80" t="str">
        <f t="shared" si="4"/>
        <v>terça-feira</v>
      </c>
      <c r="K44" t="str">
        <f>VLOOKUP(A44,RELACIONAMENTOS!A:C,2,0)</f>
        <v>Coopercarga</v>
      </c>
      <c r="L44" t="str">
        <f>VLOOKUP(A44,RELACIONAMENTOS!A:C,3,0)</f>
        <v>Fernando</v>
      </c>
      <c r="M44" t="str">
        <f>VLOOKUP(B44,RELACIONAMENTOS!E:F,2,0)</f>
        <v>Maria</v>
      </c>
      <c r="N44" t="str">
        <f>VLOOKUP(B44,RELACIONAMENTOS!H:I,2,0)</f>
        <v>Raquel</v>
      </c>
      <c r="O44">
        <f>VLOOKUP(A44,RELACIONAMENTOS!K:L,2,0)</f>
        <v>7891234567</v>
      </c>
      <c r="P44">
        <f>VLOOKUP(B44,RELACIONAMENTOS!N:O,2,0)</f>
        <v>150</v>
      </c>
      <c r="Q44" s="82" t="str">
        <f t="shared" si="5"/>
        <v>Meta atingida</v>
      </c>
      <c r="R44" s="80" t="str">
        <f t="shared" si="6"/>
        <v>Não atingida</v>
      </c>
      <c r="S44" t="str">
        <f t="shared" si="7"/>
        <v>Sim</v>
      </c>
      <c r="T44" t="str">
        <f t="shared" si="8"/>
        <v>Não</v>
      </c>
      <c r="U44" s="80">
        <f>IF(E44&gt;=500,0,VLOOKUP(B44,RELACIONAMENTOS!N:O,2,0))</f>
        <v>0</v>
      </c>
      <c r="V44" s="83">
        <f t="shared" si="9"/>
        <v>0.05</v>
      </c>
      <c r="W44" s="84">
        <f>VLOOKUP(E44,RELACIONAMENTOS!$Q$1:$S$11,3,1)</f>
        <v>0.05</v>
      </c>
    </row>
    <row r="45" spans="1:23" x14ac:dyDescent="0.25">
      <c r="A45" s="45" t="s">
        <v>271</v>
      </c>
      <c r="B45" s="45" t="s">
        <v>4</v>
      </c>
      <c r="C45" s="45">
        <v>100</v>
      </c>
      <c r="D45" s="46">
        <v>3.5</v>
      </c>
      <c r="E45" s="47">
        <f t="shared" si="10"/>
        <v>350</v>
      </c>
      <c r="F45" s="48">
        <v>40931</v>
      </c>
      <c r="G45" s="79" t="str">
        <f t="shared" si="1"/>
        <v>janeiro</v>
      </c>
      <c r="H45">
        <f t="shared" si="2"/>
        <v>2012</v>
      </c>
      <c r="I45" s="81" t="str">
        <f t="shared" si="3"/>
        <v>janeiro/2012</v>
      </c>
      <c r="J45" s="80" t="str">
        <f t="shared" si="4"/>
        <v>segunda-feira</v>
      </c>
      <c r="K45" t="str">
        <f>VLOOKUP(A45,RELACIONAMENTOS!A:C,2,0)</f>
        <v>Coopercarga</v>
      </c>
      <c r="L45" t="str">
        <f>VLOOKUP(A45,RELACIONAMENTOS!A:C,3,0)</f>
        <v>Fernando</v>
      </c>
      <c r="M45" t="str">
        <f>VLOOKUP(B45,RELACIONAMENTOS!E:F,2,0)</f>
        <v>Maria</v>
      </c>
      <c r="N45" t="str">
        <f>VLOOKUP(B45,RELACIONAMENTOS!H:I,2,0)</f>
        <v>Raquel</v>
      </c>
      <c r="O45">
        <f>VLOOKUP(A45,RELACIONAMENTOS!K:L,2,0)</f>
        <v>7891234567</v>
      </c>
      <c r="P45">
        <f>VLOOKUP(B45,RELACIONAMENTOS!N:O,2,0)</f>
        <v>150</v>
      </c>
      <c r="Q45" s="82" t="str">
        <f t="shared" si="5"/>
        <v>Não atingida</v>
      </c>
      <c r="R45" s="80" t="str">
        <f t="shared" si="6"/>
        <v>Não atingida</v>
      </c>
      <c r="S45" t="str">
        <f t="shared" si="7"/>
        <v>Não</v>
      </c>
      <c r="T45" t="str">
        <f t="shared" si="8"/>
        <v>Não</v>
      </c>
      <c r="U45" s="80">
        <f>IF(E45&gt;=500,0,VLOOKUP(B45,RELACIONAMENTOS!N:O,2,0))</f>
        <v>150</v>
      </c>
      <c r="V45" s="83">
        <f t="shared" si="9"/>
        <v>0.02</v>
      </c>
      <c r="W45" s="84">
        <f>VLOOKUP(E45,RELACIONAMENTOS!$Q$1:$S$11,3,1)</f>
        <v>0.02</v>
      </c>
    </row>
    <row r="46" spans="1:23" x14ac:dyDescent="0.25">
      <c r="A46" s="45" t="s">
        <v>271</v>
      </c>
      <c r="B46" s="45" t="s">
        <v>4</v>
      </c>
      <c r="C46" s="45">
        <v>110</v>
      </c>
      <c r="D46" s="46">
        <v>1.5</v>
      </c>
      <c r="E46" s="47">
        <f t="shared" si="10"/>
        <v>165</v>
      </c>
      <c r="F46" s="48">
        <v>40930</v>
      </c>
      <c r="G46" s="79" t="str">
        <f t="shared" si="1"/>
        <v>janeiro</v>
      </c>
      <c r="H46">
        <f t="shared" si="2"/>
        <v>2012</v>
      </c>
      <c r="I46" s="81" t="str">
        <f t="shared" si="3"/>
        <v>janeiro/2012</v>
      </c>
      <c r="J46" s="80" t="str">
        <f t="shared" si="4"/>
        <v>domingo</v>
      </c>
      <c r="K46" t="str">
        <f>VLOOKUP(A46,RELACIONAMENTOS!A:C,2,0)</f>
        <v>Coopercarga</v>
      </c>
      <c r="L46" t="str">
        <f>VLOOKUP(A46,RELACIONAMENTOS!A:C,3,0)</f>
        <v>Fernando</v>
      </c>
      <c r="M46" t="str">
        <f>VLOOKUP(B46,RELACIONAMENTOS!E:F,2,0)</f>
        <v>Maria</v>
      </c>
      <c r="N46" t="str">
        <f>VLOOKUP(B46,RELACIONAMENTOS!H:I,2,0)</f>
        <v>Raquel</v>
      </c>
      <c r="O46">
        <f>VLOOKUP(A46,RELACIONAMENTOS!K:L,2,0)</f>
        <v>7891234567</v>
      </c>
      <c r="P46">
        <f>VLOOKUP(B46,RELACIONAMENTOS!N:O,2,0)</f>
        <v>150</v>
      </c>
      <c r="Q46" s="82" t="str">
        <f t="shared" si="5"/>
        <v>Não atingida</v>
      </c>
      <c r="R46" s="80" t="str">
        <f t="shared" si="6"/>
        <v>Não atingida</v>
      </c>
      <c r="S46" t="str">
        <f t="shared" si="7"/>
        <v>Não</v>
      </c>
      <c r="T46" t="str">
        <f t="shared" si="8"/>
        <v>Não</v>
      </c>
      <c r="U46" s="80">
        <f>IF(E46&gt;=500,0,VLOOKUP(B46,RELACIONAMENTOS!N:O,2,0))</f>
        <v>150</v>
      </c>
      <c r="V46" s="83">
        <f t="shared" si="9"/>
        <v>0.01</v>
      </c>
      <c r="W46" s="84">
        <f>VLOOKUP(E46,RELACIONAMENTOS!$Q$1:$S$11,3,1)</f>
        <v>0.01</v>
      </c>
    </row>
    <row r="47" spans="1:23" x14ac:dyDescent="0.25">
      <c r="A47" s="45" t="s">
        <v>271</v>
      </c>
      <c r="B47" s="45" t="s">
        <v>4</v>
      </c>
      <c r="C47" s="45">
        <v>110</v>
      </c>
      <c r="D47" s="46">
        <v>1.5</v>
      </c>
      <c r="E47" s="47">
        <f t="shared" si="10"/>
        <v>165</v>
      </c>
      <c r="F47" s="48">
        <v>40929</v>
      </c>
      <c r="G47" s="79" t="str">
        <f t="shared" si="1"/>
        <v>janeiro</v>
      </c>
      <c r="H47">
        <f t="shared" si="2"/>
        <v>2012</v>
      </c>
      <c r="I47" s="81" t="str">
        <f t="shared" si="3"/>
        <v>janeiro/2012</v>
      </c>
      <c r="J47" s="80" t="str">
        <f t="shared" si="4"/>
        <v>sábado</v>
      </c>
      <c r="K47" t="str">
        <f>VLOOKUP(A47,RELACIONAMENTOS!A:C,2,0)</f>
        <v>Coopercarga</v>
      </c>
      <c r="L47" t="str">
        <f>VLOOKUP(A47,RELACIONAMENTOS!A:C,3,0)</f>
        <v>Fernando</v>
      </c>
      <c r="M47" t="str">
        <f>VLOOKUP(B47,RELACIONAMENTOS!E:F,2,0)</f>
        <v>Maria</v>
      </c>
      <c r="N47" t="str">
        <f>VLOOKUP(B47,RELACIONAMENTOS!H:I,2,0)</f>
        <v>Raquel</v>
      </c>
      <c r="O47">
        <f>VLOOKUP(A47,RELACIONAMENTOS!K:L,2,0)</f>
        <v>7891234567</v>
      </c>
      <c r="P47">
        <f>VLOOKUP(B47,RELACIONAMENTOS!N:O,2,0)</f>
        <v>150</v>
      </c>
      <c r="Q47" s="82" t="str">
        <f t="shared" si="5"/>
        <v>Não atingida</v>
      </c>
      <c r="R47" s="80" t="str">
        <f t="shared" si="6"/>
        <v>Não atingida</v>
      </c>
      <c r="S47" t="str">
        <f t="shared" si="7"/>
        <v>Não</v>
      </c>
      <c r="T47" t="str">
        <f t="shared" si="8"/>
        <v>Não</v>
      </c>
      <c r="U47" s="80">
        <f>IF(E47&gt;=500,0,VLOOKUP(B47,RELACIONAMENTOS!N:O,2,0))</f>
        <v>150</v>
      </c>
      <c r="V47" s="83">
        <f t="shared" si="9"/>
        <v>0.01</v>
      </c>
      <c r="W47" s="84">
        <f>VLOOKUP(E47,RELACIONAMENTOS!$Q$1:$S$11,3,1)</f>
        <v>0.01</v>
      </c>
    </row>
    <row r="48" spans="1:23" x14ac:dyDescent="0.25">
      <c r="A48" s="45" t="s">
        <v>271</v>
      </c>
      <c r="B48" s="45" t="s">
        <v>4</v>
      </c>
      <c r="C48" s="45">
        <v>110</v>
      </c>
      <c r="D48" s="46">
        <v>1.5</v>
      </c>
      <c r="E48" s="47">
        <f t="shared" si="10"/>
        <v>165</v>
      </c>
      <c r="F48" s="48">
        <v>40928</v>
      </c>
      <c r="G48" s="79" t="str">
        <f t="shared" si="1"/>
        <v>janeiro</v>
      </c>
      <c r="H48">
        <f t="shared" si="2"/>
        <v>2012</v>
      </c>
      <c r="I48" s="81" t="str">
        <f t="shared" si="3"/>
        <v>janeiro/2012</v>
      </c>
      <c r="J48" s="80" t="str">
        <f t="shared" si="4"/>
        <v>sexta-feira</v>
      </c>
      <c r="K48" t="str">
        <f>VLOOKUP(A48,RELACIONAMENTOS!A:C,2,0)</f>
        <v>Coopercarga</v>
      </c>
      <c r="L48" t="str">
        <f>VLOOKUP(A48,RELACIONAMENTOS!A:C,3,0)</f>
        <v>Fernando</v>
      </c>
      <c r="M48" t="str">
        <f>VLOOKUP(B48,RELACIONAMENTOS!E:F,2,0)</f>
        <v>Maria</v>
      </c>
      <c r="N48" t="str">
        <f>VLOOKUP(B48,RELACIONAMENTOS!H:I,2,0)</f>
        <v>Raquel</v>
      </c>
      <c r="O48">
        <f>VLOOKUP(A48,RELACIONAMENTOS!K:L,2,0)</f>
        <v>7891234567</v>
      </c>
      <c r="P48">
        <f>VLOOKUP(B48,RELACIONAMENTOS!N:O,2,0)</f>
        <v>150</v>
      </c>
      <c r="Q48" s="82" t="str">
        <f t="shared" si="5"/>
        <v>Não atingida</v>
      </c>
      <c r="R48" s="80" t="str">
        <f t="shared" si="6"/>
        <v>Não atingida</v>
      </c>
      <c r="S48" t="str">
        <f t="shared" si="7"/>
        <v>Não</v>
      </c>
      <c r="T48" t="str">
        <f t="shared" si="8"/>
        <v>Não</v>
      </c>
      <c r="U48" s="80">
        <f>IF(E48&gt;=500,0,VLOOKUP(B48,RELACIONAMENTOS!N:O,2,0))</f>
        <v>150</v>
      </c>
      <c r="V48" s="83">
        <f t="shared" si="9"/>
        <v>0.01</v>
      </c>
      <c r="W48" s="84">
        <f>VLOOKUP(E48,RELACIONAMENTOS!$Q$1:$S$11,3,1)</f>
        <v>0.01</v>
      </c>
    </row>
    <row r="49" spans="1:23" x14ac:dyDescent="0.25">
      <c r="A49" s="45" t="s">
        <v>6</v>
      </c>
      <c r="B49" s="45" t="s">
        <v>4</v>
      </c>
      <c r="C49" s="45">
        <v>100</v>
      </c>
      <c r="D49" s="46">
        <v>3.5</v>
      </c>
      <c r="E49" s="47">
        <f t="shared" si="10"/>
        <v>350</v>
      </c>
      <c r="F49" s="48">
        <v>40927</v>
      </c>
      <c r="G49" s="79" t="str">
        <f t="shared" si="1"/>
        <v>janeiro</v>
      </c>
      <c r="H49">
        <f t="shared" si="2"/>
        <v>2012</v>
      </c>
      <c r="I49" s="81" t="str">
        <f t="shared" si="3"/>
        <v>janeiro/2012</v>
      </c>
      <c r="J49" s="80" t="str">
        <f t="shared" si="4"/>
        <v>quinta-feira</v>
      </c>
      <c r="K49" t="str">
        <f>VLOOKUP(A49,RELACIONAMENTOS!A:C,2,0)</f>
        <v>ATOTAL</v>
      </c>
      <c r="L49" t="str">
        <f>VLOOKUP(A49,RELACIONAMENTOS!A:C,3,0)</f>
        <v>Simone</v>
      </c>
      <c r="M49" t="str">
        <f>VLOOKUP(B49,RELACIONAMENTOS!E:F,2,0)</f>
        <v>Maria</v>
      </c>
      <c r="N49" t="str">
        <f>VLOOKUP(B49,RELACIONAMENTOS!H:I,2,0)</f>
        <v>Raquel</v>
      </c>
      <c r="O49">
        <f>VLOOKUP(A49,RELACIONAMENTOS!K:L,2,0)</f>
        <v>78912345678</v>
      </c>
      <c r="P49">
        <f>VLOOKUP(B49,RELACIONAMENTOS!N:O,2,0)</f>
        <v>150</v>
      </c>
      <c r="Q49" s="82" t="str">
        <f t="shared" si="5"/>
        <v>Não atingida</v>
      </c>
      <c r="R49" s="80" t="str">
        <f t="shared" si="6"/>
        <v>Não atingida</v>
      </c>
      <c r="S49" t="str">
        <f t="shared" si="7"/>
        <v>Não</v>
      </c>
      <c r="T49" t="str">
        <f t="shared" si="8"/>
        <v>Não</v>
      </c>
      <c r="U49" s="80">
        <f>IF(E49&gt;=500,0,VLOOKUP(B49,RELACIONAMENTOS!N:O,2,0))</f>
        <v>150</v>
      </c>
      <c r="V49" s="83">
        <f t="shared" si="9"/>
        <v>0.02</v>
      </c>
      <c r="W49" s="84">
        <f>VLOOKUP(E49,RELACIONAMENTOS!$Q$1:$S$11,3,1)</f>
        <v>0.02</v>
      </c>
    </row>
    <row r="50" spans="1:23" x14ac:dyDescent="0.25">
      <c r="A50" s="45" t="s">
        <v>6</v>
      </c>
      <c r="B50" s="45" t="s">
        <v>4</v>
      </c>
      <c r="C50" s="45">
        <v>100</v>
      </c>
      <c r="D50" s="46">
        <v>3.5</v>
      </c>
      <c r="E50" s="47">
        <f t="shared" si="10"/>
        <v>350</v>
      </c>
      <c r="F50" s="48">
        <v>40926</v>
      </c>
      <c r="G50" s="79" t="str">
        <f t="shared" si="1"/>
        <v>janeiro</v>
      </c>
      <c r="H50">
        <f t="shared" si="2"/>
        <v>2012</v>
      </c>
      <c r="I50" s="81" t="str">
        <f t="shared" si="3"/>
        <v>janeiro/2012</v>
      </c>
      <c r="J50" s="80" t="str">
        <f t="shared" si="4"/>
        <v>quarta-feira</v>
      </c>
      <c r="K50" t="str">
        <f>VLOOKUP(A50,RELACIONAMENTOS!A:C,2,0)</f>
        <v>ATOTAL</v>
      </c>
      <c r="L50" t="str">
        <f>VLOOKUP(A50,RELACIONAMENTOS!A:C,3,0)</f>
        <v>Simone</v>
      </c>
      <c r="M50" t="str">
        <f>VLOOKUP(B50,RELACIONAMENTOS!E:F,2,0)</f>
        <v>Maria</v>
      </c>
      <c r="N50" t="str">
        <f>VLOOKUP(B50,RELACIONAMENTOS!H:I,2,0)</f>
        <v>Raquel</v>
      </c>
      <c r="O50">
        <f>VLOOKUP(A50,RELACIONAMENTOS!K:L,2,0)</f>
        <v>78912345678</v>
      </c>
      <c r="P50">
        <f>VLOOKUP(B50,RELACIONAMENTOS!N:O,2,0)</f>
        <v>150</v>
      </c>
      <c r="Q50" s="82" t="str">
        <f t="shared" si="5"/>
        <v>Não atingida</v>
      </c>
      <c r="R50" s="80" t="str">
        <f t="shared" si="6"/>
        <v>Não atingida</v>
      </c>
      <c r="S50" t="str">
        <f t="shared" si="7"/>
        <v>Não</v>
      </c>
      <c r="T50" t="str">
        <f t="shared" si="8"/>
        <v>Não</v>
      </c>
      <c r="U50" s="80">
        <f>IF(E50&gt;=500,0,VLOOKUP(B50,RELACIONAMENTOS!N:O,2,0))</f>
        <v>150</v>
      </c>
      <c r="V50" s="83">
        <f t="shared" si="9"/>
        <v>0.02</v>
      </c>
      <c r="W50" s="84">
        <f>VLOOKUP(E50,RELACIONAMENTOS!$Q$1:$S$11,3,1)</f>
        <v>0.02</v>
      </c>
    </row>
    <row r="51" spans="1:23" x14ac:dyDescent="0.25">
      <c r="A51" s="45" t="s">
        <v>271</v>
      </c>
      <c r="B51" s="45" t="s">
        <v>4</v>
      </c>
      <c r="C51" s="45">
        <v>100</v>
      </c>
      <c r="D51" s="46">
        <v>3.5</v>
      </c>
      <c r="E51" s="47">
        <f t="shared" si="10"/>
        <v>350</v>
      </c>
      <c r="F51" s="48">
        <v>40925</v>
      </c>
      <c r="G51" s="79" t="str">
        <f t="shared" si="1"/>
        <v>janeiro</v>
      </c>
      <c r="H51">
        <f t="shared" si="2"/>
        <v>2012</v>
      </c>
      <c r="I51" s="81" t="str">
        <f t="shared" si="3"/>
        <v>janeiro/2012</v>
      </c>
      <c r="J51" s="80" t="str">
        <f t="shared" si="4"/>
        <v>terça-feira</v>
      </c>
      <c r="K51" t="str">
        <f>VLOOKUP(A51,RELACIONAMENTOS!A:C,2,0)</f>
        <v>Coopercarga</v>
      </c>
      <c r="L51" t="str">
        <f>VLOOKUP(A51,RELACIONAMENTOS!A:C,3,0)</f>
        <v>Fernando</v>
      </c>
      <c r="M51" t="str">
        <f>VLOOKUP(B51,RELACIONAMENTOS!E:F,2,0)</f>
        <v>Maria</v>
      </c>
      <c r="N51" t="str">
        <f>VLOOKUP(B51,RELACIONAMENTOS!H:I,2,0)</f>
        <v>Raquel</v>
      </c>
      <c r="O51">
        <f>VLOOKUP(A51,RELACIONAMENTOS!K:L,2,0)</f>
        <v>7891234567</v>
      </c>
      <c r="P51">
        <f>VLOOKUP(B51,RELACIONAMENTOS!N:O,2,0)</f>
        <v>150</v>
      </c>
      <c r="Q51" s="82" t="str">
        <f t="shared" si="5"/>
        <v>Não atingida</v>
      </c>
      <c r="R51" s="80" t="str">
        <f t="shared" si="6"/>
        <v>Não atingida</v>
      </c>
      <c r="S51" t="str">
        <f t="shared" si="7"/>
        <v>Não</v>
      </c>
      <c r="T51" t="str">
        <f t="shared" si="8"/>
        <v>Não</v>
      </c>
      <c r="U51" s="80">
        <f>IF(E51&gt;=500,0,VLOOKUP(B51,RELACIONAMENTOS!N:O,2,0))</f>
        <v>150</v>
      </c>
      <c r="V51" s="83">
        <f t="shared" si="9"/>
        <v>0.02</v>
      </c>
      <c r="W51" s="84">
        <f>VLOOKUP(E51,RELACIONAMENTOS!$Q$1:$S$11,3,1)</f>
        <v>0.02</v>
      </c>
    </row>
    <row r="52" spans="1:23" x14ac:dyDescent="0.25">
      <c r="A52" s="45" t="s">
        <v>271</v>
      </c>
      <c r="B52" s="45" t="s">
        <v>4</v>
      </c>
      <c r="C52" s="45">
        <v>250</v>
      </c>
      <c r="D52" s="46">
        <v>1.5</v>
      </c>
      <c r="E52" s="47">
        <f t="shared" si="10"/>
        <v>375</v>
      </c>
      <c r="F52" s="48">
        <v>40924</v>
      </c>
      <c r="G52" s="79" t="str">
        <f t="shared" si="1"/>
        <v>janeiro</v>
      </c>
      <c r="H52">
        <f t="shared" si="2"/>
        <v>2012</v>
      </c>
      <c r="I52" s="81" t="str">
        <f t="shared" si="3"/>
        <v>janeiro/2012</v>
      </c>
      <c r="J52" s="80" t="str">
        <f t="shared" si="4"/>
        <v>segunda-feira</v>
      </c>
      <c r="K52" t="str">
        <f>VLOOKUP(A52,RELACIONAMENTOS!A:C,2,0)</f>
        <v>Coopercarga</v>
      </c>
      <c r="L52" t="str">
        <f>VLOOKUP(A52,RELACIONAMENTOS!A:C,3,0)</f>
        <v>Fernando</v>
      </c>
      <c r="M52" t="str">
        <f>VLOOKUP(B52,RELACIONAMENTOS!E:F,2,0)</f>
        <v>Maria</v>
      </c>
      <c r="N52" t="str">
        <f>VLOOKUP(B52,RELACIONAMENTOS!H:I,2,0)</f>
        <v>Raquel</v>
      </c>
      <c r="O52">
        <f>VLOOKUP(A52,RELACIONAMENTOS!K:L,2,0)</f>
        <v>7891234567</v>
      </c>
      <c r="P52">
        <f>VLOOKUP(B52,RELACIONAMENTOS!N:O,2,0)</f>
        <v>150</v>
      </c>
      <c r="Q52" s="82" t="str">
        <f t="shared" si="5"/>
        <v>Não atingida</v>
      </c>
      <c r="R52" s="80" t="str">
        <f t="shared" si="6"/>
        <v>Não atingida</v>
      </c>
      <c r="S52" t="str">
        <f t="shared" si="7"/>
        <v>Não</v>
      </c>
      <c r="T52" t="str">
        <f t="shared" si="8"/>
        <v>Não</v>
      </c>
      <c r="U52" s="80">
        <f>IF(E52&gt;=500,0,VLOOKUP(B52,RELACIONAMENTOS!N:O,2,0))</f>
        <v>150</v>
      </c>
      <c r="V52" s="83">
        <f t="shared" si="9"/>
        <v>0.02</v>
      </c>
      <c r="W52" s="84">
        <f>VLOOKUP(E52,RELACIONAMENTOS!$Q$1:$S$11,3,1)</f>
        <v>0.02</v>
      </c>
    </row>
    <row r="53" spans="1:23" x14ac:dyDescent="0.25">
      <c r="A53" s="45" t="s">
        <v>271</v>
      </c>
      <c r="B53" s="45" t="s">
        <v>4</v>
      </c>
      <c r="C53" s="45">
        <v>300</v>
      </c>
      <c r="D53" s="46">
        <v>1.5</v>
      </c>
      <c r="E53" s="47">
        <f t="shared" si="10"/>
        <v>450</v>
      </c>
      <c r="F53" s="48">
        <v>40923</v>
      </c>
      <c r="G53" s="79" t="str">
        <f t="shared" si="1"/>
        <v>janeiro</v>
      </c>
      <c r="H53">
        <f t="shared" si="2"/>
        <v>2012</v>
      </c>
      <c r="I53" s="81" t="str">
        <f t="shared" si="3"/>
        <v>janeiro/2012</v>
      </c>
      <c r="J53" s="80" t="str">
        <f t="shared" si="4"/>
        <v>domingo</v>
      </c>
      <c r="K53" t="str">
        <f>VLOOKUP(A53,RELACIONAMENTOS!A:C,2,0)</f>
        <v>Coopercarga</v>
      </c>
      <c r="L53" t="str">
        <f>VLOOKUP(A53,RELACIONAMENTOS!A:C,3,0)</f>
        <v>Fernando</v>
      </c>
      <c r="M53" t="str">
        <f>VLOOKUP(B53,RELACIONAMENTOS!E:F,2,0)</f>
        <v>Maria</v>
      </c>
      <c r="N53" t="str">
        <f>VLOOKUP(B53,RELACIONAMENTOS!H:I,2,0)</f>
        <v>Raquel</v>
      </c>
      <c r="O53">
        <f>VLOOKUP(A53,RELACIONAMENTOS!K:L,2,0)</f>
        <v>7891234567</v>
      </c>
      <c r="P53">
        <f>VLOOKUP(B53,RELACIONAMENTOS!N:O,2,0)</f>
        <v>150</v>
      </c>
      <c r="Q53" s="82" t="str">
        <f t="shared" si="5"/>
        <v>Não atingida</v>
      </c>
      <c r="R53" s="80" t="str">
        <f t="shared" si="6"/>
        <v>Não atingida</v>
      </c>
      <c r="S53" t="str">
        <f t="shared" si="7"/>
        <v>Não</v>
      </c>
      <c r="T53" t="str">
        <f t="shared" si="8"/>
        <v>Não</v>
      </c>
      <c r="U53" s="80">
        <f>IF(E53&gt;=500,0,VLOOKUP(B53,RELACIONAMENTOS!N:O,2,0))</f>
        <v>150</v>
      </c>
      <c r="V53" s="83">
        <f t="shared" si="9"/>
        <v>0.03</v>
      </c>
      <c r="W53" s="84">
        <f>VLOOKUP(E53,RELACIONAMENTOS!$Q$1:$S$11,3,1)</f>
        <v>0.03</v>
      </c>
    </row>
    <row r="54" spans="1:23" x14ac:dyDescent="0.25">
      <c r="A54" s="45" t="s">
        <v>271</v>
      </c>
      <c r="B54" s="45" t="s">
        <v>3</v>
      </c>
      <c r="C54" s="45">
        <v>200</v>
      </c>
      <c r="D54" s="46">
        <v>1.5</v>
      </c>
      <c r="E54" s="47">
        <f t="shared" si="10"/>
        <v>300</v>
      </c>
      <c r="F54" s="48">
        <v>40922</v>
      </c>
      <c r="G54" s="79" t="str">
        <f t="shared" si="1"/>
        <v>janeiro</v>
      </c>
      <c r="H54">
        <f t="shared" si="2"/>
        <v>2012</v>
      </c>
      <c r="I54" s="81" t="str">
        <f t="shared" si="3"/>
        <v>janeiro/2012</v>
      </c>
      <c r="J54" s="80" t="str">
        <f t="shared" si="4"/>
        <v>sábado</v>
      </c>
      <c r="K54" t="str">
        <f>VLOOKUP(A54,RELACIONAMENTOS!A:C,2,0)</f>
        <v>Coopercarga</v>
      </c>
      <c r="L54" t="str">
        <f>VLOOKUP(A54,RELACIONAMENTOS!A:C,3,0)</f>
        <v>Fernando</v>
      </c>
      <c r="M54" t="str">
        <f>VLOOKUP(B54,RELACIONAMENTOS!E:F,2,0)</f>
        <v>Maria</v>
      </c>
      <c r="N54" t="str">
        <f>VLOOKUP(B54,RELACIONAMENTOS!H:I,2,0)</f>
        <v>Thais</v>
      </c>
      <c r="O54">
        <f>VLOOKUP(A54,RELACIONAMENTOS!K:L,2,0)</f>
        <v>7891234567</v>
      </c>
      <c r="P54">
        <f>VLOOKUP(B54,RELACIONAMENTOS!N:O,2,0)</f>
        <v>100</v>
      </c>
      <c r="Q54" s="82" t="str">
        <f t="shared" si="5"/>
        <v>Não atingida</v>
      </c>
      <c r="R54" s="80" t="str">
        <f t="shared" si="6"/>
        <v>Não atingida</v>
      </c>
      <c r="S54" t="str">
        <f t="shared" si="7"/>
        <v>Não</v>
      </c>
      <c r="T54" t="str">
        <f t="shared" si="8"/>
        <v>Não</v>
      </c>
      <c r="U54" s="80">
        <f>IF(E54&gt;=500,0,VLOOKUP(B54,RELACIONAMENTOS!N:O,2,0))</f>
        <v>100</v>
      </c>
      <c r="V54" s="83">
        <f t="shared" si="9"/>
        <v>0.02</v>
      </c>
      <c r="W54" s="84">
        <f>VLOOKUP(E54,RELACIONAMENTOS!$Q$1:$S$11,3,1)</f>
        <v>0.02</v>
      </c>
    </row>
    <row r="55" spans="1:23" x14ac:dyDescent="0.25">
      <c r="A55" s="45" t="s">
        <v>271</v>
      </c>
      <c r="B55" s="45" t="s">
        <v>3</v>
      </c>
      <c r="C55" s="45">
        <v>102</v>
      </c>
      <c r="D55" s="46">
        <v>1.5</v>
      </c>
      <c r="E55" s="47">
        <f t="shared" si="10"/>
        <v>153</v>
      </c>
      <c r="F55" s="48">
        <v>40921</v>
      </c>
      <c r="G55" s="79" t="str">
        <f t="shared" si="1"/>
        <v>janeiro</v>
      </c>
      <c r="H55">
        <f t="shared" si="2"/>
        <v>2012</v>
      </c>
      <c r="I55" s="81" t="str">
        <f t="shared" si="3"/>
        <v>janeiro/2012</v>
      </c>
      <c r="J55" s="80" t="str">
        <f t="shared" si="4"/>
        <v>sexta-feira</v>
      </c>
      <c r="K55" t="str">
        <f>VLOOKUP(A55,RELACIONAMENTOS!A:C,2,0)</f>
        <v>Coopercarga</v>
      </c>
      <c r="L55" t="str">
        <f>VLOOKUP(A55,RELACIONAMENTOS!A:C,3,0)</f>
        <v>Fernando</v>
      </c>
      <c r="M55" t="str">
        <f>VLOOKUP(B55,RELACIONAMENTOS!E:F,2,0)</f>
        <v>Maria</v>
      </c>
      <c r="N55" t="str">
        <f>VLOOKUP(B55,RELACIONAMENTOS!H:I,2,0)</f>
        <v>Thais</v>
      </c>
      <c r="O55">
        <f>VLOOKUP(A55,RELACIONAMENTOS!K:L,2,0)</f>
        <v>7891234567</v>
      </c>
      <c r="P55">
        <f>VLOOKUP(B55,RELACIONAMENTOS!N:O,2,0)</f>
        <v>100</v>
      </c>
      <c r="Q55" s="82" t="str">
        <f t="shared" si="5"/>
        <v>Não atingida</v>
      </c>
      <c r="R55" s="80" t="str">
        <f t="shared" si="6"/>
        <v>Não atingida</v>
      </c>
      <c r="S55" t="str">
        <f t="shared" si="7"/>
        <v>Não</v>
      </c>
      <c r="T55" t="str">
        <f t="shared" si="8"/>
        <v>Não</v>
      </c>
      <c r="U55" s="80">
        <f>IF(E55&gt;=500,0,VLOOKUP(B55,RELACIONAMENTOS!N:O,2,0))</f>
        <v>100</v>
      </c>
      <c r="V55" s="83">
        <f t="shared" si="9"/>
        <v>0.01</v>
      </c>
      <c r="W55" s="84">
        <f>VLOOKUP(E55,RELACIONAMENTOS!$Q$1:$S$11,3,1)</f>
        <v>0.01</v>
      </c>
    </row>
    <row r="56" spans="1:23" x14ac:dyDescent="0.25">
      <c r="A56" s="45" t="s">
        <v>271</v>
      </c>
      <c r="B56" s="45" t="s">
        <v>3</v>
      </c>
      <c r="C56" s="45">
        <v>300</v>
      </c>
      <c r="D56" s="46">
        <v>3</v>
      </c>
      <c r="E56" s="47">
        <f t="shared" si="10"/>
        <v>900</v>
      </c>
      <c r="F56" s="48">
        <v>40920</v>
      </c>
      <c r="G56" s="79" t="str">
        <f t="shared" si="1"/>
        <v>janeiro</v>
      </c>
      <c r="H56">
        <f t="shared" si="2"/>
        <v>2012</v>
      </c>
      <c r="I56" s="81" t="str">
        <f t="shared" si="3"/>
        <v>janeiro/2012</v>
      </c>
      <c r="J56" s="80" t="str">
        <f t="shared" si="4"/>
        <v>quinta-feira</v>
      </c>
      <c r="K56" t="str">
        <f>VLOOKUP(A56,RELACIONAMENTOS!A:C,2,0)</f>
        <v>Coopercarga</v>
      </c>
      <c r="L56" t="str">
        <f>VLOOKUP(A56,RELACIONAMENTOS!A:C,3,0)</f>
        <v>Fernando</v>
      </c>
      <c r="M56" t="str">
        <f>VLOOKUP(B56,RELACIONAMENTOS!E:F,2,0)</f>
        <v>Maria</v>
      </c>
      <c r="N56" t="str">
        <f>VLOOKUP(B56,RELACIONAMENTOS!H:I,2,0)</f>
        <v>Thais</v>
      </c>
      <c r="O56">
        <f>VLOOKUP(A56,RELACIONAMENTOS!K:L,2,0)</f>
        <v>7891234567</v>
      </c>
      <c r="P56">
        <f>VLOOKUP(B56,RELACIONAMENTOS!N:O,2,0)</f>
        <v>100</v>
      </c>
      <c r="Q56" s="82" t="str">
        <f t="shared" si="5"/>
        <v>Meta atingida</v>
      </c>
      <c r="R56" s="80" t="str">
        <f t="shared" si="6"/>
        <v>Não atingida</v>
      </c>
      <c r="S56" t="str">
        <f t="shared" si="7"/>
        <v>Sim</v>
      </c>
      <c r="T56" t="str">
        <f t="shared" si="8"/>
        <v>Não</v>
      </c>
      <c r="U56" s="80">
        <f>IF(E56&gt;=500,0,VLOOKUP(B56,RELACIONAMENTOS!N:O,2,0))</f>
        <v>0</v>
      </c>
      <c r="V56" s="83">
        <f t="shared" si="9"/>
        <v>0.05</v>
      </c>
      <c r="W56" s="84">
        <f>VLOOKUP(E56,RELACIONAMENTOS!$Q$1:$S$11,3,1)</f>
        <v>0.05</v>
      </c>
    </row>
    <row r="57" spans="1:23" x14ac:dyDescent="0.25">
      <c r="A57" s="45" t="s">
        <v>271</v>
      </c>
      <c r="B57" s="45" t="s">
        <v>3</v>
      </c>
      <c r="C57" s="45">
        <v>203</v>
      </c>
      <c r="D57" s="46">
        <v>3.5</v>
      </c>
      <c r="E57" s="47">
        <f t="shared" si="10"/>
        <v>710.5</v>
      </c>
      <c r="F57" s="48">
        <v>40919</v>
      </c>
      <c r="G57" s="79" t="str">
        <f t="shared" si="1"/>
        <v>janeiro</v>
      </c>
      <c r="H57">
        <f t="shared" si="2"/>
        <v>2012</v>
      </c>
      <c r="I57" s="81" t="str">
        <f t="shared" si="3"/>
        <v>janeiro/2012</v>
      </c>
      <c r="J57" s="80" t="str">
        <f t="shared" si="4"/>
        <v>quarta-feira</v>
      </c>
      <c r="K57" t="str">
        <f>VLOOKUP(A57,RELACIONAMENTOS!A:C,2,0)</f>
        <v>Coopercarga</v>
      </c>
      <c r="L57" t="str">
        <f>VLOOKUP(A57,RELACIONAMENTOS!A:C,3,0)</f>
        <v>Fernando</v>
      </c>
      <c r="M57" t="str">
        <f>VLOOKUP(B57,RELACIONAMENTOS!E:F,2,0)</f>
        <v>Maria</v>
      </c>
      <c r="N57" t="str">
        <f>VLOOKUP(B57,RELACIONAMENTOS!H:I,2,0)</f>
        <v>Thais</v>
      </c>
      <c r="O57">
        <f>VLOOKUP(A57,RELACIONAMENTOS!K:L,2,0)</f>
        <v>7891234567</v>
      </c>
      <c r="P57">
        <f>VLOOKUP(B57,RELACIONAMENTOS!N:O,2,0)</f>
        <v>100</v>
      </c>
      <c r="Q57" s="82" t="str">
        <f t="shared" si="5"/>
        <v>Meta atingida</v>
      </c>
      <c r="R57" s="80" t="str">
        <f t="shared" si="6"/>
        <v>Não atingida</v>
      </c>
      <c r="S57" t="str">
        <f t="shared" si="7"/>
        <v>Sim</v>
      </c>
      <c r="T57" t="str">
        <f t="shared" si="8"/>
        <v>Não</v>
      </c>
      <c r="U57" s="80">
        <f>IF(E57&gt;=500,0,VLOOKUP(B57,RELACIONAMENTOS!N:O,2,0))</f>
        <v>0</v>
      </c>
      <c r="V57" s="83">
        <f t="shared" si="9"/>
        <v>0.04</v>
      </c>
      <c r="W57" s="84">
        <f>VLOOKUP(E57,RELACIONAMENTOS!$Q$1:$S$11,3,1)</f>
        <v>0.04</v>
      </c>
    </row>
    <row r="58" spans="1:23" x14ac:dyDescent="0.25">
      <c r="A58" s="45" t="s">
        <v>271</v>
      </c>
      <c r="B58" s="45" t="s">
        <v>3</v>
      </c>
      <c r="C58" s="45">
        <v>20</v>
      </c>
      <c r="D58" s="46">
        <v>3</v>
      </c>
      <c r="E58" s="47">
        <f t="shared" si="10"/>
        <v>60</v>
      </c>
      <c r="F58" s="48">
        <v>40918</v>
      </c>
      <c r="G58" s="79" t="str">
        <f t="shared" si="1"/>
        <v>janeiro</v>
      </c>
      <c r="H58">
        <f t="shared" si="2"/>
        <v>2012</v>
      </c>
      <c r="I58" s="81" t="str">
        <f t="shared" si="3"/>
        <v>janeiro/2012</v>
      </c>
      <c r="J58" s="80" t="str">
        <f t="shared" si="4"/>
        <v>terça-feira</v>
      </c>
      <c r="K58" t="str">
        <f>VLOOKUP(A58,RELACIONAMENTOS!A:C,2,0)</f>
        <v>Coopercarga</v>
      </c>
      <c r="L58" t="str">
        <f>VLOOKUP(A58,RELACIONAMENTOS!A:C,3,0)</f>
        <v>Fernando</v>
      </c>
      <c r="M58" t="str">
        <f>VLOOKUP(B58,RELACIONAMENTOS!E:F,2,0)</f>
        <v>Maria</v>
      </c>
      <c r="N58" t="str">
        <f>VLOOKUP(B58,RELACIONAMENTOS!H:I,2,0)</f>
        <v>Thais</v>
      </c>
      <c r="O58">
        <f>VLOOKUP(A58,RELACIONAMENTOS!K:L,2,0)</f>
        <v>7891234567</v>
      </c>
      <c r="P58">
        <f>VLOOKUP(B58,RELACIONAMENTOS!N:O,2,0)</f>
        <v>100</v>
      </c>
      <c r="Q58" s="82" t="str">
        <f t="shared" si="5"/>
        <v>Não atingida</v>
      </c>
      <c r="R58" s="80" t="str">
        <f t="shared" si="6"/>
        <v>Não atingida</v>
      </c>
      <c r="S58" t="str">
        <f t="shared" si="7"/>
        <v>Não</v>
      </c>
      <c r="T58" t="str">
        <f t="shared" si="8"/>
        <v>Não</v>
      </c>
      <c r="U58" s="80">
        <f>IF(E58&gt;=500,0,VLOOKUP(B58,RELACIONAMENTOS!N:O,2,0))</f>
        <v>100</v>
      </c>
      <c r="V58" s="83">
        <f t="shared" si="9"/>
        <v>0.01</v>
      </c>
      <c r="W58" s="84">
        <f>VLOOKUP(E58,RELACIONAMENTOS!$Q$1:$S$11,3,1)</f>
        <v>0.01</v>
      </c>
    </row>
    <row r="59" spans="1:23" x14ac:dyDescent="0.25">
      <c r="A59" s="45" t="s">
        <v>271</v>
      </c>
      <c r="B59" s="45" t="s">
        <v>3</v>
      </c>
      <c r="C59" s="45">
        <v>20</v>
      </c>
      <c r="D59" s="46">
        <v>3</v>
      </c>
      <c r="E59" s="47">
        <f t="shared" si="10"/>
        <v>60</v>
      </c>
      <c r="F59" s="48">
        <v>40917</v>
      </c>
      <c r="G59" s="79" t="str">
        <f t="shared" si="1"/>
        <v>janeiro</v>
      </c>
      <c r="H59">
        <f t="shared" si="2"/>
        <v>2012</v>
      </c>
      <c r="I59" s="81" t="str">
        <f t="shared" si="3"/>
        <v>janeiro/2012</v>
      </c>
      <c r="J59" s="80" t="str">
        <f t="shared" si="4"/>
        <v>segunda-feira</v>
      </c>
      <c r="K59" t="str">
        <f>VLOOKUP(A59,RELACIONAMENTOS!A:C,2,0)</f>
        <v>Coopercarga</v>
      </c>
      <c r="L59" t="str">
        <f>VLOOKUP(A59,RELACIONAMENTOS!A:C,3,0)</f>
        <v>Fernando</v>
      </c>
      <c r="M59" t="str">
        <f>VLOOKUP(B59,RELACIONAMENTOS!E:F,2,0)</f>
        <v>Maria</v>
      </c>
      <c r="N59" t="str">
        <f>VLOOKUP(B59,RELACIONAMENTOS!H:I,2,0)</f>
        <v>Thais</v>
      </c>
      <c r="O59">
        <f>VLOOKUP(A59,RELACIONAMENTOS!K:L,2,0)</f>
        <v>7891234567</v>
      </c>
      <c r="P59">
        <f>VLOOKUP(B59,RELACIONAMENTOS!N:O,2,0)</f>
        <v>100</v>
      </c>
      <c r="Q59" s="82" t="str">
        <f t="shared" si="5"/>
        <v>Não atingida</v>
      </c>
      <c r="R59" s="80" t="str">
        <f t="shared" si="6"/>
        <v>Não atingida</v>
      </c>
      <c r="S59" t="str">
        <f t="shared" si="7"/>
        <v>Não</v>
      </c>
      <c r="T59" t="str">
        <f t="shared" si="8"/>
        <v>Não</v>
      </c>
      <c r="U59" s="80">
        <f>IF(E59&gt;=500,0,VLOOKUP(B59,RELACIONAMENTOS!N:O,2,0))</f>
        <v>100</v>
      </c>
      <c r="V59" s="83">
        <f t="shared" si="9"/>
        <v>0.01</v>
      </c>
      <c r="W59" s="84">
        <f>VLOOKUP(E59,RELACIONAMENTOS!$Q$1:$S$11,3,1)</f>
        <v>0.01</v>
      </c>
    </row>
    <row r="60" spans="1:23" x14ac:dyDescent="0.25">
      <c r="A60" s="45" t="s">
        <v>271</v>
      </c>
      <c r="B60" s="45" t="s">
        <v>3</v>
      </c>
      <c r="C60" s="45">
        <v>20</v>
      </c>
      <c r="D60" s="46">
        <v>3</v>
      </c>
      <c r="E60" s="47">
        <f t="shared" si="10"/>
        <v>60</v>
      </c>
      <c r="F60" s="48">
        <v>40916</v>
      </c>
      <c r="G60" s="79" t="str">
        <f t="shared" si="1"/>
        <v>janeiro</v>
      </c>
      <c r="H60">
        <f t="shared" si="2"/>
        <v>2012</v>
      </c>
      <c r="I60" s="81" t="str">
        <f t="shared" si="3"/>
        <v>janeiro/2012</v>
      </c>
      <c r="J60" s="80" t="str">
        <f t="shared" si="4"/>
        <v>domingo</v>
      </c>
      <c r="K60" t="str">
        <f>VLOOKUP(A60,RELACIONAMENTOS!A:C,2,0)</f>
        <v>Coopercarga</v>
      </c>
      <c r="L60" t="str">
        <f>VLOOKUP(A60,RELACIONAMENTOS!A:C,3,0)</f>
        <v>Fernando</v>
      </c>
      <c r="M60" t="str">
        <f>VLOOKUP(B60,RELACIONAMENTOS!E:F,2,0)</f>
        <v>Maria</v>
      </c>
      <c r="N60" t="str">
        <f>VLOOKUP(B60,RELACIONAMENTOS!H:I,2,0)</f>
        <v>Thais</v>
      </c>
      <c r="O60">
        <f>VLOOKUP(A60,RELACIONAMENTOS!K:L,2,0)</f>
        <v>7891234567</v>
      </c>
      <c r="P60">
        <f>VLOOKUP(B60,RELACIONAMENTOS!N:O,2,0)</f>
        <v>100</v>
      </c>
      <c r="Q60" s="82" t="str">
        <f t="shared" si="5"/>
        <v>Não atingida</v>
      </c>
      <c r="R60" s="80" t="str">
        <f t="shared" si="6"/>
        <v>Não atingida</v>
      </c>
      <c r="S60" t="str">
        <f t="shared" si="7"/>
        <v>Não</v>
      </c>
      <c r="T60" t="str">
        <f t="shared" si="8"/>
        <v>Não</v>
      </c>
      <c r="U60" s="80">
        <f>IF(E60&gt;=500,0,VLOOKUP(B60,RELACIONAMENTOS!N:O,2,0))</f>
        <v>100</v>
      </c>
      <c r="V60" s="83">
        <f t="shared" si="9"/>
        <v>0.01</v>
      </c>
      <c r="W60" s="84">
        <f>VLOOKUP(E60,RELACIONAMENTOS!$Q$1:$S$11,3,1)</f>
        <v>0.01</v>
      </c>
    </row>
    <row r="61" spans="1:23" x14ac:dyDescent="0.25">
      <c r="A61" s="45" t="s">
        <v>271</v>
      </c>
      <c r="B61" s="45" t="s">
        <v>3</v>
      </c>
      <c r="C61" s="45">
        <v>20</v>
      </c>
      <c r="D61" s="46">
        <v>3</v>
      </c>
      <c r="E61" s="47">
        <f t="shared" si="10"/>
        <v>60</v>
      </c>
      <c r="F61" s="48">
        <v>40915</v>
      </c>
      <c r="G61" s="79" t="str">
        <f t="shared" si="1"/>
        <v>janeiro</v>
      </c>
      <c r="H61">
        <f t="shared" si="2"/>
        <v>2012</v>
      </c>
      <c r="I61" s="81" t="str">
        <f t="shared" si="3"/>
        <v>janeiro/2012</v>
      </c>
      <c r="J61" s="80" t="str">
        <f t="shared" si="4"/>
        <v>sábado</v>
      </c>
      <c r="K61" t="str">
        <f>VLOOKUP(A61,RELACIONAMENTOS!A:C,2,0)</f>
        <v>Coopercarga</v>
      </c>
      <c r="L61" t="str">
        <f>VLOOKUP(A61,RELACIONAMENTOS!A:C,3,0)</f>
        <v>Fernando</v>
      </c>
      <c r="M61" t="str">
        <f>VLOOKUP(B61,RELACIONAMENTOS!E:F,2,0)</f>
        <v>Maria</v>
      </c>
      <c r="N61" t="str">
        <f>VLOOKUP(B61,RELACIONAMENTOS!H:I,2,0)</f>
        <v>Thais</v>
      </c>
      <c r="O61">
        <f>VLOOKUP(A61,RELACIONAMENTOS!K:L,2,0)</f>
        <v>7891234567</v>
      </c>
      <c r="P61">
        <f>VLOOKUP(B61,RELACIONAMENTOS!N:O,2,0)</f>
        <v>100</v>
      </c>
      <c r="Q61" s="82" t="str">
        <f t="shared" si="5"/>
        <v>Não atingida</v>
      </c>
      <c r="R61" s="80" t="str">
        <f t="shared" si="6"/>
        <v>Não atingida</v>
      </c>
      <c r="S61" t="str">
        <f t="shared" si="7"/>
        <v>Não</v>
      </c>
      <c r="T61" t="str">
        <f t="shared" si="8"/>
        <v>Não</v>
      </c>
      <c r="U61" s="80">
        <f>IF(E61&gt;=500,0,VLOOKUP(B61,RELACIONAMENTOS!N:O,2,0))</f>
        <v>100</v>
      </c>
      <c r="V61" s="83">
        <f t="shared" si="9"/>
        <v>0.01</v>
      </c>
      <c r="W61" s="84">
        <f>VLOOKUP(E61,RELACIONAMENTOS!$Q$1:$S$11,3,1)</f>
        <v>0.01</v>
      </c>
    </row>
    <row r="62" spans="1:23" x14ac:dyDescent="0.25">
      <c r="A62" s="45" t="s">
        <v>271</v>
      </c>
      <c r="B62" s="45" t="s">
        <v>3</v>
      </c>
      <c r="C62" s="45">
        <v>20</v>
      </c>
      <c r="D62" s="46">
        <v>3</v>
      </c>
      <c r="E62" s="47">
        <f t="shared" si="10"/>
        <v>60</v>
      </c>
      <c r="F62" s="48">
        <v>40914</v>
      </c>
      <c r="G62" s="79" t="str">
        <f t="shared" si="1"/>
        <v>janeiro</v>
      </c>
      <c r="H62">
        <f t="shared" si="2"/>
        <v>2012</v>
      </c>
      <c r="I62" s="81" t="str">
        <f t="shared" si="3"/>
        <v>janeiro/2012</v>
      </c>
      <c r="J62" s="80" t="str">
        <f t="shared" si="4"/>
        <v>sexta-feira</v>
      </c>
      <c r="K62" t="str">
        <f>VLOOKUP(A62,RELACIONAMENTOS!A:C,2,0)</f>
        <v>Coopercarga</v>
      </c>
      <c r="L62" t="str">
        <f>VLOOKUP(A62,RELACIONAMENTOS!A:C,3,0)</f>
        <v>Fernando</v>
      </c>
      <c r="M62" t="str">
        <f>VLOOKUP(B62,RELACIONAMENTOS!E:F,2,0)</f>
        <v>Maria</v>
      </c>
      <c r="N62" t="str">
        <f>VLOOKUP(B62,RELACIONAMENTOS!H:I,2,0)</f>
        <v>Thais</v>
      </c>
      <c r="O62">
        <f>VLOOKUP(A62,RELACIONAMENTOS!K:L,2,0)</f>
        <v>7891234567</v>
      </c>
      <c r="P62">
        <f>VLOOKUP(B62,RELACIONAMENTOS!N:O,2,0)</f>
        <v>100</v>
      </c>
      <c r="Q62" s="82" t="str">
        <f t="shared" si="5"/>
        <v>Não atingida</v>
      </c>
      <c r="R62" s="80" t="str">
        <f t="shared" si="6"/>
        <v>Não atingida</v>
      </c>
      <c r="S62" t="str">
        <f t="shared" si="7"/>
        <v>Não</v>
      </c>
      <c r="T62" t="str">
        <f t="shared" si="8"/>
        <v>Não</v>
      </c>
      <c r="U62" s="80">
        <f>IF(E62&gt;=500,0,VLOOKUP(B62,RELACIONAMENTOS!N:O,2,0))</f>
        <v>100</v>
      </c>
      <c r="V62" s="83">
        <f t="shared" si="9"/>
        <v>0.01</v>
      </c>
      <c r="W62" s="84">
        <f>VLOOKUP(E62,RELACIONAMENTOS!$Q$1:$S$11,3,1)</f>
        <v>0.01</v>
      </c>
    </row>
    <row r="63" spans="1:23" x14ac:dyDescent="0.25">
      <c r="A63" s="45" t="s">
        <v>27</v>
      </c>
      <c r="B63" s="45" t="s">
        <v>2</v>
      </c>
      <c r="C63" s="45">
        <v>20</v>
      </c>
      <c r="D63" s="46">
        <v>3</v>
      </c>
      <c r="E63" s="47">
        <f t="shared" si="10"/>
        <v>60</v>
      </c>
      <c r="F63" s="48">
        <v>40913</v>
      </c>
      <c r="G63" s="79" t="str">
        <f t="shared" si="1"/>
        <v>janeiro</v>
      </c>
      <c r="H63">
        <f t="shared" si="2"/>
        <v>2012</v>
      </c>
      <c r="I63" s="81" t="str">
        <f t="shared" si="3"/>
        <v>janeiro/2012</v>
      </c>
      <c r="J63" s="80" t="str">
        <f t="shared" si="4"/>
        <v>quinta-feira</v>
      </c>
      <c r="K63" t="str">
        <f>VLOOKUP(A63,RELACIONAMENTOS!A:C,2,0)</f>
        <v>ABC REMÉDIOS</v>
      </c>
      <c r="L63" t="str">
        <f>VLOOKUP(A63,RELACIONAMENTOS!A:C,3,0)</f>
        <v>Talita</v>
      </c>
      <c r="M63" t="str">
        <f>VLOOKUP(B63,RELACIONAMENTOS!E:F,2,0)</f>
        <v>João</v>
      </c>
      <c r="N63" t="str">
        <f>VLOOKUP(B63,RELACIONAMENTOS!H:I,2,0)</f>
        <v>Tatiane</v>
      </c>
      <c r="O63">
        <f>VLOOKUP(A63,RELACIONAMENTOS!K:L,2,0)</f>
        <v>789123456</v>
      </c>
      <c r="P63">
        <f>VLOOKUP(B63,RELACIONAMENTOS!N:O,2,0)</f>
        <v>230</v>
      </c>
      <c r="Q63" s="82" t="str">
        <f t="shared" si="5"/>
        <v>Não atingida</v>
      </c>
      <c r="R63" s="80" t="str">
        <f t="shared" si="6"/>
        <v>Não atingida</v>
      </c>
      <c r="S63" t="str">
        <f t="shared" si="7"/>
        <v>Não</v>
      </c>
      <c r="T63" t="str">
        <f t="shared" si="8"/>
        <v>Não</v>
      </c>
      <c r="U63" s="80">
        <f>IF(E63&gt;=500,0,VLOOKUP(B63,RELACIONAMENTOS!N:O,2,0))</f>
        <v>230</v>
      </c>
      <c r="V63" s="83">
        <f t="shared" si="9"/>
        <v>0.01</v>
      </c>
      <c r="W63" s="84">
        <f>VLOOKUP(E63,RELACIONAMENTOS!$Q$1:$S$11,3,1)</f>
        <v>0.01</v>
      </c>
    </row>
    <row r="64" spans="1:23" x14ac:dyDescent="0.25">
      <c r="A64" s="45" t="s">
        <v>27</v>
      </c>
      <c r="B64" s="45" t="s">
        <v>2</v>
      </c>
      <c r="C64" s="45">
        <v>20</v>
      </c>
      <c r="D64" s="46">
        <v>3</v>
      </c>
      <c r="E64" s="47">
        <f t="shared" si="10"/>
        <v>60</v>
      </c>
      <c r="F64" s="48">
        <v>40912</v>
      </c>
      <c r="G64" s="79" t="str">
        <f t="shared" si="1"/>
        <v>janeiro</v>
      </c>
      <c r="H64">
        <f t="shared" si="2"/>
        <v>2012</v>
      </c>
      <c r="I64" s="81" t="str">
        <f t="shared" si="3"/>
        <v>janeiro/2012</v>
      </c>
      <c r="J64" s="80" t="str">
        <f t="shared" si="4"/>
        <v>quarta-feira</v>
      </c>
      <c r="K64" t="str">
        <f>VLOOKUP(A64,RELACIONAMENTOS!A:C,2,0)</f>
        <v>ABC REMÉDIOS</v>
      </c>
      <c r="L64" t="str">
        <f>VLOOKUP(A64,RELACIONAMENTOS!A:C,3,0)</f>
        <v>Talita</v>
      </c>
      <c r="M64" t="str">
        <f>VLOOKUP(B64,RELACIONAMENTOS!E:F,2,0)</f>
        <v>João</v>
      </c>
      <c r="N64" t="str">
        <f>VLOOKUP(B64,RELACIONAMENTOS!H:I,2,0)</f>
        <v>Tatiane</v>
      </c>
      <c r="O64">
        <f>VLOOKUP(A64,RELACIONAMENTOS!K:L,2,0)</f>
        <v>789123456</v>
      </c>
      <c r="P64">
        <f>VLOOKUP(B64,RELACIONAMENTOS!N:O,2,0)</f>
        <v>230</v>
      </c>
      <c r="Q64" s="82" t="str">
        <f t="shared" si="5"/>
        <v>Não atingida</v>
      </c>
      <c r="R64" s="80" t="str">
        <f t="shared" si="6"/>
        <v>Não atingida</v>
      </c>
      <c r="S64" t="str">
        <f t="shared" si="7"/>
        <v>Não</v>
      </c>
      <c r="T64" t="str">
        <f t="shared" si="8"/>
        <v>Não</v>
      </c>
      <c r="U64" s="80">
        <f>IF(E64&gt;=500,0,VLOOKUP(B64,RELACIONAMENTOS!N:O,2,0))</f>
        <v>230</v>
      </c>
      <c r="V64" s="83">
        <f t="shared" si="9"/>
        <v>0.01</v>
      </c>
      <c r="W64" s="84">
        <f>VLOOKUP(E64,RELACIONAMENTOS!$Q$1:$S$11,3,1)</f>
        <v>0.01</v>
      </c>
    </row>
    <row r="65" spans="1:23" x14ac:dyDescent="0.25">
      <c r="A65" s="45" t="s">
        <v>27</v>
      </c>
      <c r="B65" s="45" t="s">
        <v>2</v>
      </c>
      <c r="C65" s="45">
        <v>20</v>
      </c>
      <c r="D65" s="46">
        <v>3</v>
      </c>
      <c r="E65" s="47">
        <f t="shared" si="10"/>
        <v>60</v>
      </c>
      <c r="F65" s="48">
        <v>40911</v>
      </c>
      <c r="G65" s="79" t="str">
        <f t="shared" si="1"/>
        <v>janeiro</v>
      </c>
      <c r="H65">
        <f t="shared" si="2"/>
        <v>2012</v>
      </c>
      <c r="I65" s="81" t="str">
        <f t="shared" si="3"/>
        <v>janeiro/2012</v>
      </c>
      <c r="J65" s="80" t="str">
        <f t="shared" si="4"/>
        <v>terça-feira</v>
      </c>
      <c r="K65" t="str">
        <f>VLOOKUP(A65,RELACIONAMENTOS!A:C,2,0)</f>
        <v>ABC REMÉDIOS</v>
      </c>
      <c r="L65" t="str">
        <f>VLOOKUP(A65,RELACIONAMENTOS!A:C,3,0)</f>
        <v>Talita</v>
      </c>
      <c r="M65" t="str">
        <f>VLOOKUP(B65,RELACIONAMENTOS!E:F,2,0)</f>
        <v>João</v>
      </c>
      <c r="N65" t="str">
        <f>VLOOKUP(B65,RELACIONAMENTOS!H:I,2,0)</f>
        <v>Tatiane</v>
      </c>
      <c r="O65">
        <f>VLOOKUP(A65,RELACIONAMENTOS!K:L,2,0)</f>
        <v>789123456</v>
      </c>
      <c r="P65">
        <f>VLOOKUP(B65,RELACIONAMENTOS!N:O,2,0)</f>
        <v>230</v>
      </c>
      <c r="Q65" s="82" t="str">
        <f t="shared" si="5"/>
        <v>Não atingida</v>
      </c>
      <c r="R65" s="80" t="str">
        <f t="shared" si="6"/>
        <v>Não atingida</v>
      </c>
      <c r="S65" t="str">
        <f t="shared" si="7"/>
        <v>Não</v>
      </c>
      <c r="T65" t="str">
        <f t="shared" si="8"/>
        <v>Não</v>
      </c>
      <c r="U65" s="80">
        <f>IF(E65&gt;=500,0,VLOOKUP(B65,RELACIONAMENTOS!N:O,2,0))</f>
        <v>230</v>
      </c>
      <c r="V65" s="83">
        <f t="shared" si="9"/>
        <v>0.01</v>
      </c>
      <c r="W65" s="84">
        <f>VLOOKUP(E65,RELACIONAMENTOS!$Q$1:$S$11,3,1)</f>
        <v>0.01</v>
      </c>
    </row>
    <row r="66" spans="1:23" x14ac:dyDescent="0.25">
      <c r="A66" s="45" t="s">
        <v>271</v>
      </c>
      <c r="B66" s="45" t="s">
        <v>2</v>
      </c>
      <c r="C66" s="45">
        <v>20</v>
      </c>
      <c r="D66" s="46">
        <v>3</v>
      </c>
      <c r="E66" s="47">
        <f t="shared" ref="E66:E92" si="11">C66*D66</f>
        <v>60</v>
      </c>
      <c r="F66" s="48">
        <v>40910</v>
      </c>
      <c r="G66" s="79" t="str">
        <f t="shared" si="1"/>
        <v>janeiro</v>
      </c>
      <c r="H66">
        <f t="shared" si="2"/>
        <v>2012</v>
      </c>
      <c r="I66" s="81" t="str">
        <f t="shared" si="3"/>
        <v>janeiro/2012</v>
      </c>
      <c r="J66" s="80" t="str">
        <f t="shared" si="4"/>
        <v>segunda-feira</v>
      </c>
      <c r="K66" t="str">
        <f>VLOOKUP(A66,RELACIONAMENTOS!A:C,2,0)</f>
        <v>Coopercarga</v>
      </c>
      <c r="L66" t="str">
        <f>VLOOKUP(A66,RELACIONAMENTOS!A:C,3,0)</f>
        <v>Fernando</v>
      </c>
      <c r="M66" t="str">
        <f>VLOOKUP(B66,RELACIONAMENTOS!E:F,2,0)</f>
        <v>João</v>
      </c>
      <c r="N66" t="str">
        <f>VLOOKUP(B66,RELACIONAMENTOS!H:I,2,0)</f>
        <v>Tatiane</v>
      </c>
      <c r="O66">
        <f>VLOOKUP(A66,RELACIONAMENTOS!K:L,2,0)</f>
        <v>7891234567</v>
      </c>
      <c r="P66">
        <f>VLOOKUP(B66,RELACIONAMENTOS!N:O,2,0)</f>
        <v>230</v>
      </c>
      <c r="Q66" s="82" t="str">
        <f t="shared" si="5"/>
        <v>Não atingida</v>
      </c>
      <c r="R66" s="80" t="str">
        <f t="shared" si="6"/>
        <v>Não atingida</v>
      </c>
      <c r="S66" t="str">
        <f t="shared" si="7"/>
        <v>Não</v>
      </c>
      <c r="T66" t="str">
        <f t="shared" si="8"/>
        <v>Não</v>
      </c>
      <c r="U66" s="80">
        <f>IF(E66&gt;=500,0,VLOOKUP(B66,RELACIONAMENTOS!N:O,2,0))</f>
        <v>230</v>
      </c>
      <c r="V66" s="83">
        <f t="shared" si="9"/>
        <v>0.01</v>
      </c>
      <c r="W66" s="84">
        <f>VLOOKUP(E66,RELACIONAMENTOS!$Q$1:$S$11,3,1)</f>
        <v>0.01</v>
      </c>
    </row>
    <row r="67" spans="1:23" x14ac:dyDescent="0.25">
      <c r="A67" s="45" t="s">
        <v>271</v>
      </c>
      <c r="B67" s="45" t="s">
        <v>2</v>
      </c>
      <c r="C67" s="45">
        <v>300</v>
      </c>
      <c r="D67" s="46">
        <v>3</v>
      </c>
      <c r="E67" s="47">
        <f t="shared" si="11"/>
        <v>900</v>
      </c>
      <c r="F67" s="48">
        <v>40909</v>
      </c>
      <c r="G67" s="79" t="str">
        <f t="shared" ref="G67:G92" si="12">TEXT(F67,"mmmm")</f>
        <v>janeiro</v>
      </c>
      <c r="H67">
        <f t="shared" ref="H67:H92" si="13">YEAR(F67)</f>
        <v>2012</v>
      </c>
      <c r="I67" s="81" t="str">
        <f t="shared" ref="I67:I92" si="14">G67&amp;"/"&amp;H67</f>
        <v>janeiro/2012</v>
      </c>
      <c r="J67" s="80" t="str">
        <f t="shared" ref="J67:J92" si="15">TEXT(F67,"dddd")</f>
        <v>domingo</v>
      </c>
      <c r="K67" t="str">
        <f>VLOOKUP(A67,RELACIONAMENTOS!A:C,2,0)</f>
        <v>Coopercarga</v>
      </c>
      <c r="L67" t="str">
        <f>VLOOKUP(A67,RELACIONAMENTOS!A:C,3,0)</f>
        <v>Fernando</v>
      </c>
      <c r="M67" t="str">
        <f>VLOOKUP(B67,RELACIONAMENTOS!E:F,2,0)</f>
        <v>João</v>
      </c>
      <c r="N67" t="str">
        <f>VLOOKUP(B67,RELACIONAMENTOS!H:I,2,0)</f>
        <v>Tatiane</v>
      </c>
      <c r="O67">
        <f>VLOOKUP(A67,RELACIONAMENTOS!K:L,2,0)</f>
        <v>7891234567</v>
      </c>
      <c r="P67">
        <f>VLOOKUP(B67,RELACIONAMENTOS!N:O,2,0)</f>
        <v>230</v>
      </c>
      <c r="Q67" s="82" t="str">
        <f t="shared" ref="Q67:Q92" si="16">IF(E67&gt;500,"Meta atingida","Não atingida")</f>
        <v>Meta atingida</v>
      </c>
      <c r="R67" s="80" t="str">
        <f t="shared" ref="R67:R92" si="17">IF(C67&gt;300,"Meta atingida","Não atingida")</f>
        <v>Não atingida</v>
      </c>
      <c r="S67" t="str">
        <f t="shared" ref="S67:S92" si="18">IF(OR(Q67="Meta atingida",R67="Meta atingida"), "Sim","Não")</f>
        <v>Sim</v>
      </c>
      <c r="T67" t="str">
        <f t="shared" ref="T67:T92" si="19">IF(AND(Q67="Meta atingida",R67="Meta atingida"), "Sim","Não")</f>
        <v>Não</v>
      </c>
      <c r="U67" s="80">
        <f>IF(E67&gt;=500,0,VLOOKUP(B67,RELACIONAMENTOS!N:O,2,0))</f>
        <v>0</v>
      </c>
      <c r="V67" s="83">
        <f t="shared" ref="V67:V92" si="20">IF(E67&lt;=200,1%,IF(E67&lt;=400,2%,IF(E67&lt;=600,3%,IF(E67&lt;=800,4%,IF(E67&lt;=1000,5%,IF(E67&lt;=1800,10%,15%))))))</f>
        <v>0.05</v>
      </c>
      <c r="W67" s="84">
        <f>VLOOKUP(E67,RELACIONAMENTOS!$Q$1:$S$11,3,1)</f>
        <v>0.05</v>
      </c>
    </row>
    <row r="68" spans="1:23" x14ac:dyDescent="0.25">
      <c r="A68" s="45" t="s">
        <v>27</v>
      </c>
      <c r="B68" s="45" t="s">
        <v>2</v>
      </c>
      <c r="C68" s="45">
        <v>300</v>
      </c>
      <c r="D68" s="46">
        <v>3</v>
      </c>
      <c r="E68" s="47">
        <f t="shared" si="11"/>
        <v>900</v>
      </c>
      <c r="F68" s="48">
        <v>40908</v>
      </c>
      <c r="G68" s="79" t="str">
        <f t="shared" si="12"/>
        <v>dezembro</v>
      </c>
      <c r="H68">
        <f t="shared" si="13"/>
        <v>2011</v>
      </c>
      <c r="I68" s="81" t="str">
        <f t="shared" si="14"/>
        <v>dezembro/2011</v>
      </c>
      <c r="J68" s="80" t="str">
        <f t="shared" si="15"/>
        <v>sábado</v>
      </c>
      <c r="K68" t="str">
        <f>VLOOKUP(A68,RELACIONAMENTOS!A:C,2,0)</f>
        <v>ABC REMÉDIOS</v>
      </c>
      <c r="L68" t="str">
        <f>VLOOKUP(A68,RELACIONAMENTOS!A:C,3,0)</f>
        <v>Talita</v>
      </c>
      <c r="M68" t="str">
        <f>VLOOKUP(B68,RELACIONAMENTOS!E:F,2,0)</f>
        <v>João</v>
      </c>
      <c r="N68" t="str">
        <f>VLOOKUP(B68,RELACIONAMENTOS!H:I,2,0)</f>
        <v>Tatiane</v>
      </c>
      <c r="O68">
        <f>VLOOKUP(A68,RELACIONAMENTOS!K:L,2,0)</f>
        <v>789123456</v>
      </c>
      <c r="P68">
        <f>VLOOKUP(B68,RELACIONAMENTOS!N:O,2,0)</f>
        <v>230</v>
      </c>
      <c r="Q68" s="82" t="str">
        <f t="shared" si="16"/>
        <v>Meta atingida</v>
      </c>
      <c r="R68" s="80" t="str">
        <f t="shared" si="17"/>
        <v>Não atingida</v>
      </c>
      <c r="S68" t="str">
        <f t="shared" si="18"/>
        <v>Sim</v>
      </c>
      <c r="T68" t="str">
        <f t="shared" si="19"/>
        <v>Não</v>
      </c>
      <c r="U68" s="80">
        <f>IF(E68&gt;=500,0,VLOOKUP(B68,RELACIONAMENTOS!N:O,2,0))</f>
        <v>0</v>
      </c>
      <c r="V68" s="83">
        <f t="shared" si="20"/>
        <v>0.05</v>
      </c>
      <c r="W68" s="84">
        <f>VLOOKUP(E68,RELACIONAMENTOS!$Q$1:$S$11,3,1)</f>
        <v>0.05</v>
      </c>
    </row>
    <row r="69" spans="1:23" x14ac:dyDescent="0.25">
      <c r="A69" s="45" t="s">
        <v>27</v>
      </c>
      <c r="B69" s="45" t="s">
        <v>2</v>
      </c>
      <c r="C69" s="45">
        <v>300</v>
      </c>
      <c r="D69" s="46">
        <v>3.5</v>
      </c>
      <c r="E69" s="47">
        <f t="shared" si="11"/>
        <v>1050</v>
      </c>
      <c r="F69" s="48">
        <v>40907</v>
      </c>
      <c r="G69" s="79" t="str">
        <f t="shared" si="12"/>
        <v>dezembro</v>
      </c>
      <c r="H69">
        <f t="shared" si="13"/>
        <v>2011</v>
      </c>
      <c r="I69" s="81" t="str">
        <f t="shared" si="14"/>
        <v>dezembro/2011</v>
      </c>
      <c r="J69" s="80" t="str">
        <f t="shared" si="15"/>
        <v>sexta-feira</v>
      </c>
      <c r="K69" t="str">
        <f>VLOOKUP(A69,RELACIONAMENTOS!A:C,2,0)</f>
        <v>ABC REMÉDIOS</v>
      </c>
      <c r="L69" t="str">
        <f>VLOOKUP(A69,RELACIONAMENTOS!A:C,3,0)</f>
        <v>Talita</v>
      </c>
      <c r="M69" t="str">
        <f>VLOOKUP(B69,RELACIONAMENTOS!E:F,2,0)</f>
        <v>João</v>
      </c>
      <c r="N69" t="str">
        <f>VLOOKUP(B69,RELACIONAMENTOS!H:I,2,0)</f>
        <v>Tatiane</v>
      </c>
      <c r="O69">
        <f>VLOOKUP(A69,RELACIONAMENTOS!K:L,2,0)</f>
        <v>789123456</v>
      </c>
      <c r="P69">
        <f>VLOOKUP(B69,RELACIONAMENTOS!N:O,2,0)</f>
        <v>230</v>
      </c>
      <c r="Q69" s="82" t="str">
        <f t="shared" si="16"/>
        <v>Meta atingida</v>
      </c>
      <c r="R69" s="80" t="str">
        <f t="shared" si="17"/>
        <v>Não atingida</v>
      </c>
      <c r="S69" t="str">
        <f t="shared" si="18"/>
        <v>Sim</v>
      </c>
      <c r="T69" t="str">
        <f t="shared" si="19"/>
        <v>Não</v>
      </c>
      <c r="U69" s="80">
        <f>IF(E69&gt;=500,0,VLOOKUP(B69,RELACIONAMENTOS!N:O,2,0))</f>
        <v>0</v>
      </c>
      <c r="V69" s="83">
        <f t="shared" si="20"/>
        <v>0.1</v>
      </c>
      <c r="W69" s="84">
        <f>VLOOKUP(E69,RELACIONAMENTOS!$Q$1:$S$11,3,1)</f>
        <v>0.06</v>
      </c>
    </row>
    <row r="70" spans="1:23" x14ac:dyDescent="0.25">
      <c r="A70" s="45" t="s">
        <v>27</v>
      </c>
      <c r="B70" s="45" t="s">
        <v>2</v>
      </c>
      <c r="C70" s="45">
        <v>300</v>
      </c>
      <c r="D70" s="46">
        <v>3.5</v>
      </c>
      <c r="E70" s="47">
        <f t="shared" si="11"/>
        <v>1050</v>
      </c>
      <c r="F70" s="48">
        <v>40906</v>
      </c>
      <c r="G70" s="79" t="str">
        <f t="shared" si="12"/>
        <v>dezembro</v>
      </c>
      <c r="H70">
        <f t="shared" si="13"/>
        <v>2011</v>
      </c>
      <c r="I70" s="81" t="str">
        <f t="shared" si="14"/>
        <v>dezembro/2011</v>
      </c>
      <c r="J70" s="80" t="str">
        <f t="shared" si="15"/>
        <v>quinta-feira</v>
      </c>
      <c r="K70" t="str">
        <f>VLOOKUP(A70,RELACIONAMENTOS!A:C,2,0)</f>
        <v>ABC REMÉDIOS</v>
      </c>
      <c r="L70" t="str">
        <f>VLOOKUP(A70,RELACIONAMENTOS!A:C,3,0)</f>
        <v>Talita</v>
      </c>
      <c r="M70" t="str">
        <f>VLOOKUP(B70,RELACIONAMENTOS!E:F,2,0)</f>
        <v>João</v>
      </c>
      <c r="N70" t="str">
        <f>VLOOKUP(B70,RELACIONAMENTOS!H:I,2,0)</f>
        <v>Tatiane</v>
      </c>
      <c r="O70">
        <f>VLOOKUP(A70,RELACIONAMENTOS!K:L,2,0)</f>
        <v>789123456</v>
      </c>
      <c r="P70">
        <f>VLOOKUP(B70,RELACIONAMENTOS!N:O,2,0)</f>
        <v>230</v>
      </c>
      <c r="Q70" s="82" t="str">
        <f t="shared" si="16"/>
        <v>Meta atingida</v>
      </c>
      <c r="R70" s="80" t="str">
        <f t="shared" si="17"/>
        <v>Não atingida</v>
      </c>
      <c r="S70" t="str">
        <f t="shared" si="18"/>
        <v>Sim</v>
      </c>
      <c r="T70" t="str">
        <f t="shared" si="19"/>
        <v>Não</v>
      </c>
      <c r="U70" s="80">
        <f>IF(E70&gt;=500,0,VLOOKUP(B70,RELACIONAMENTOS!N:O,2,0))</f>
        <v>0</v>
      </c>
      <c r="V70" s="83">
        <f t="shared" si="20"/>
        <v>0.1</v>
      </c>
      <c r="W70" s="84">
        <f>VLOOKUP(E70,RELACIONAMENTOS!$Q$1:$S$11,3,1)</f>
        <v>0.06</v>
      </c>
    </row>
    <row r="71" spans="1:23" x14ac:dyDescent="0.25">
      <c r="A71" s="45" t="s">
        <v>27</v>
      </c>
      <c r="B71" s="45" t="s">
        <v>2</v>
      </c>
      <c r="C71" s="45">
        <v>300</v>
      </c>
      <c r="D71" s="46">
        <v>3.5</v>
      </c>
      <c r="E71" s="47">
        <f t="shared" si="11"/>
        <v>1050</v>
      </c>
      <c r="F71" s="48">
        <v>40905</v>
      </c>
      <c r="G71" s="79" t="str">
        <f t="shared" si="12"/>
        <v>dezembro</v>
      </c>
      <c r="H71">
        <f t="shared" si="13"/>
        <v>2011</v>
      </c>
      <c r="I71" s="81" t="str">
        <f t="shared" si="14"/>
        <v>dezembro/2011</v>
      </c>
      <c r="J71" s="80" t="str">
        <f t="shared" si="15"/>
        <v>quarta-feira</v>
      </c>
      <c r="K71" t="str">
        <f>VLOOKUP(A71,RELACIONAMENTOS!A:C,2,0)</f>
        <v>ABC REMÉDIOS</v>
      </c>
      <c r="L71" t="str">
        <f>VLOOKUP(A71,RELACIONAMENTOS!A:C,3,0)</f>
        <v>Talita</v>
      </c>
      <c r="M71" t="str">
        <f>VLOOKUP(B71,RELACIONAMENTOS!E:F,2,0)</f>
        <v>João</v>
      </c>
      <c r="N71" t="str">
        <f>VLOOKUP(B71,RELACIONAMENTOS!H:I,2,0)</f>
        <v>Tatiane</v>
      </c>
      <c r="O71">
        <f>VLOOKUP(A71,RELACIONAMENTOS!K:L,2,0)</f>
        <v>789123456</v>
      </c>
      <c r="P71">
        <f>VLOOKUP(B71,RELACIONAMENTOS!N:O,2,0)</f>
        <v>230</v>
      </c>
      <c r="Q71" s="82" t="str">
        <f t="shared" si="16"/>
        <v>Meta atingida</v>
      </c>
      <c r="R71" s="80" t="str">
        <f t="shared" si="17"/>
        <v>Não atingida</v>
      </c>
      <c r="S71" t="str">
        <f t="shared" si="18"/>
        <v>Sim</v>
      </c>
      <c r="T71" t="str">
        <f t="shared" si="19"/>
        <v>Não</v>
      </c>
      <c r="U71" s="80">
        <f>IF(E71&gt;=500,0,VLOOKUP(B71,RELACIONAMENTOS!N:O,2,0))</f>
        <v>0</v>
      </c>
      <c r="V71" s="83">
        <f t="shared" si="20"/>
        <v>0.1</v>
      </c>
      <c r="W71" s="84">
        <f>VLOOKUP(E71,RELACIONAMENTOS!$Q$1:$S$11,3,1)</f>
        <v>0.06</v>
      </c>
    </row>
    <row r="72" spans="1:23" x14ac:dyDescent="0.25">
      <c r="A72" s="45" t="s">
        <v>27</v>
      </c>
      <c r="B72" s="45" t="s">
        <v>2</v>
      </c>
      <c r="C72" s="45">
        <v>300</v>
      </c>
      <c r="D72" s="46">
        <v>3.5</v>
      </c>
      <c r="E72" s="47">
        <f t="shared" si="11"/>
        <v>1050</v>
      </c>
      <c r="F72" s="48">
        <v>40904</v>
      </c>
      <c r="G72" s="79" t="str">
        <f t="shared" si="12"/>
        <v>dezembro</v>
      </c>
      <c r="H72">
        <f t="shared" si="13"/>
        <v>2011</v>
      </c>
      <c r="I72" s="81" t="str">
        <f t="shared" si="14"/>
        <v>dezembro/2011</v>
      </c>
      <c r="J72" s="80" t="str">
        <f t="shared" si="15"/>
        <v>terça-feira</v>
      </c>
      <c r="K72" t="str">
        <f>VLOOKUP(A72,RELACIONAMENTOS!A:C,2,0)</f>
        <v>ABC REMÉDIOS</v>
      </c>
      <c r="L72" t="str">
        <f>VLOOKUP(A72,RELACIONAMENTOS!A:C,3,0)</f>
        <v>Talita</v>
      </c>
      <c r="M72" t="str">
        <f>VLOOKUP(B72,RELACIONAMENTOS!E:F,2,0)</f>
        <v>João</v>
      </c>
      <c r="N72" t="str">
        <f>VLOOKUP(B72,RELACIONAMENTOS!H:I,2,0)</f>
        <v>Tatiane</v>
      </c>
      <c r="O72">
        <f>VLOOKUP(A72,RELACIONAMENTOS!K:L,2,0)</f>
        <v>789123456</v>
      </c>
      <c r="P72">
        <f>VLOOKUP(B72,RELACIONAMENTOS!N:O,2,0)</f>
        <v>230</v>
      </c>
      <c r="Q72" s="82" t="str">
        <f t="shared" si="16"/>
        <v>Meta atingida</v>
      </c>
      <c r="R72" s="80" t="str">
        <f t="shared" si="17"/>
        <v>Não atingida</v>
      </c>
      <c r="S72" t="str">
        <f t="shared" si="18"/>
        <v>Sim</v>
      </c>
      <c r="T72" t="str">
        <f t="shared" si="19"/>
        <v>Não</v>
      </c>
      <c r="U72" s="80">
        <f>IF(E72&gt;=500,0,VLOOKUP(B72,RELACIONAMENTOS!N:O,2,0))</f>
        <v>0</v>
      </c>
      <c r="V72" s="83">
        <f t="shared" si="20"/>
        <v>0.1</v>
      </c>
      <c r="W72" s="84">
        <f>VLOOKUP(E72,RELACIONAMENTOS!$Q$1:$S$11,3,1)</f>
        <v>0.06</v>
      </c>
    </row>
    <row r="73" spans="1:23" x14ac:dyDescent="0.25">
      <c r="A73" s="45" t="s">
        <v>271</v>
      </c>
      <c r="B73" s="45" t="s">
        <v>2</v>
      </c>
      <c r="C73" s="45">
        <v>100</v>
      </c>
      <c r="D73" s="46">
        <v>3.5</v>
      </c>
      <c r="E73" s="47">
        <f t="shared" si="11"/>
        <v>350</v>
      </c>
      <c r="F73" s="48">
        <v>40903</v>
      </c>
      <c r="G73" s="79" t="str">
        <f t="shared" si="12"/>
        <v>dezembro</v>
      </c>
      <c r="H73">
        <f t="shared" si="13"/>
        <v>2011</v>
      </c>
      <c r="I73" s="81" t="str">
        <f t="shared" si="14"/>
        <v>dezembro/2011</v>
      </c>
      <c r="J73" s="80" t="str">
        <f t="shared" si="15"/>
        <v>segunda-feira</v>
      </c>
      <c r="K73" t="str">
        <f>VLOOKUP(A73,RELACIONAMENTOS!A:C,2,0)</f>
        <v>Coopercarga</v>
      </c>
      <c r="L73" t="str">
        <f>VLOOKUP(A73,RELACIONAMENTOS!A:C,3,0)</f>
        <v>Fernando</v>
      </c>
      <c r="M73" t="str">
        <f>VLOOKUP(B73,RELACIONAMENTOS!E:F,2,0)</f>
        <v>João</v>
      </c>
      <c r="N73" t="str">
        <f>VLOOKUP(B73,RELACIONAMENTOS!H:I,2,0)</f>
        <v>Tatiane</v>
      </c>
      <c r="O73">
        <f>VLOOKUP(A73,RELACIONAMENTOS!K:L,2,0)</f>
        <v>7891234567</v>
      </c>
      <c r="P73">
        <f>VLOOKUP(B73,RELACIONAMENTOS!N:O,2,0)</f>
        <v>230</v>
      </c>
      <c r="Q73" s="82" t="str">
        <f t="shared" si="16"/>
        <v>Não atingida</v>
      </c>
      <c r="R73" s="80" t="str">
        <f t="shared" si="17"/>
        <v>Não atingida</v>
      </c>
      <c r="S73" t="str">
        <f t="shared" si="18"/>
        <v>Não</v>
      </c>
      <c r="T73" t="str">
        <f t="shared" si="19"/>
        <v>Não</v>
      </c>
      <c r="U73" s="80">
        <f>IF(E73&gt;=500,0,VLOOKUP(B73,RELACIONAMENTOS!N:O,2,0))</f>
        <v>230</v>
      </c>
      <c r="V73" s="83">
        <f t="shared" si="20"/>
        <v>0.02</v>
      </c>
      <c r="W73" s="84">
        <f>VLOOKUP(E73,RELACIONAMENTOS!$Q$1:$S$11,3,1)</f>
        <v>0.02</v>
      </c>
    </row>
    <row r="74" spans="1:23" x14ac:dyDescent="0.25">
      <c r="A74" s="45" t="s">
        <v>27</v>
      </c>
      <c r="B74" s="45" t="s">
        <v>2</v>
      </c>
      <c r="C74" s="45">
        <v>100</v>
      </c>
      <c r="D74" s="46">
        <v>3.5</v>
      </c>
      <c r="E74" s="47">
        <f t="shared" si="11"/>
        <v>350</v>
      </c>
      <c r="F74" s="48">
        <v>40902</v>
      </c>
      <c r="G74" s="79" t="str">
        <f t="shared" si="12"/>
        <v>dezembro</v>
      </c>
      <c r="H74">
        <f t="shared" si="13"/>
        <v>2011</v>
      </c>
      <c r="I74" s="81" t="str">
        <f t="shared" si="14"/>
        <v>dezembro/2011</v>
      </c>
      <c r="J74" s="80" t="str">
        <f t="shared" si="15"/>
        <v>domingo</v>
      </c>
      <c r="K74" t="str">
        <f>VLOOKUP(A74,RELACIONAMENTOS!A:C,2,0)</f>
        <v>ABC REMÉDIOS</v>
      </c>
      <c r="L74" t="str">
        <f>VLOOKUP(A74,RELACIONAMENTOS!A:C,3,0)</f>
        <v>Talita</v>
      </c>
      <c r="M74" t="str">
        <f>VLOOKUP(B74,RELACIONAMENTOS!E:F,2,0)</f>
        <v>João</v>
      </c>
      <c r="N74" t="str">
        <f>VLOOKUP(B74,RELACIONAMENTOS!H:I,2,0)</f>
        <v>Tatiane</v>
      </c>
      <c r="O74">
        <f>VLOOKUP(A74,RELACIONAMENTOS!K:L,2,0)</f>
        <v>789123456</v>
      </c>
      <c r="P74">
        <f>VLOOKUP(B74,RELACIONAMENTOS!N:O,2,0)</f>
        <v>230</v>
      </c>
      <c r="Q74" s="82" t="str">
        <f t="shared" si="16"/>
        <v>Não atingida</v>
      </c>
      <c r="R74" s="80" t="str">
        <f t="shared" si="17"/>
        <v>Não atingida</v>
      </c>
      <c r="S74" t="str">
        <f t="shared" si="18"/>
        <v>Não</v>
      </c>
      <c r="T74" t="str">
        <f t="shared" si="19"/>
        <v>Não</v>
      </c>
      <c r="U74" s="80">
        <f>IF(E74&gt;=500,0,VLOOKUP(B74,RELACIONAMENTOS!N:O,2,0))</f>
        <v>230</v>
      </c>
      <c r="V74" s="83">
        <f t="shared" si="20"/>
        <v>0.02</v>
      </c>
      <c r="W74" s="84">
        <f>VLOOKUP(E74,RELACIONAMENTOS!$Q$1:$S$11,3,1)</f>
        <v>0.02</v>
      </c>
    </row>
    <row r="75" spans="1:23" x14ac:dyDescent="0.25">
      <c r="A75" s="45" t="s">
        <v>27</v>
      </c>
      <c r="B75" s="45" t="s">
        <v>2</v>
      </c>
      <c r="C75" s="45">
        <v>220</v>
      </c>
      <c r="D75" s="46">
        <v>3.5</v>
      </c>
      <c r="E75" s="47">
        <f t="shared" si="11"/>
        <v>770</v>
      </c>
      <c r="F75" s="48">
        <v>40901</v>
      </c>
      <c r="G75" s="79" t="str">
        <f t="shared" si="12"/>
        <v>dezembro</v>
      </c>
      <c r="H75">
        <f t="shared" si="13"/>
        <v>2011</v>
      </c>
      <c r="I75" s="81" t="str">
        <f t="shared" si="14"/>
        <v>dezembro/2011</v>
      </c>
      <c r="J75" s="80" t="str">
        <f t="shared" si="15"/>
        <v>sábado</v>
      </c>
      <c r="K75" t="str">
        <f>VLOOKUP(A75,RELACIONAMENTOS!A:C,2,0)</f>
        <v>ABC REMÉDIOS</v>
      </c>
      <c r="L75" t="str">
        <f>VLOOKUP(A75,RELACIONAMENTOS!A:C,3,0)</f>
        <v>Talita</v>
      </c>
      <c r="M75" t="str">
        <f>VLOOKUP(B75,RELACIONAMENTOS!E:F,2,0)</f>
        <v>João</v>
      </c>
      <c r="N75" t="str">
        <f>VLOOKUP(B75,RELACIONAMENTOS!H:I,2,0)</f>
        <v>Tatiane</v>
      </c>
      <c r="O75">
        <f>VLOOKUP(A75,RELACIONAMENTOS!K:L,2,0)</f>
        <v>789123456</v>
      </c>
      <c r="P75">
        <f>VLOOKUP(B75,RELACIONAMENTOS!N:O,2,0)</f>
        <v>230</v>
      </c>
      <c r="Q75" s="82" t="str">
        <f t="shared" si="16"/>
        <v>Meta atingida</v>
      </c>
      <c r="R75" s="80" t="str">
        <f t="shared" si="17"/>
        <v>Não atingida</v>
      </c>
      <c r="S75" t="str">
        <f t="shared" si="18"/>
        <v>Sim</v>
      </c>
      <c r="T75" t="str">
        <f t="shared" si="19"/>
        <v>Não</v>
      </c>
      <c r="U75" s="80">
        <f>IF(E75&gt;=500,0,VLOOKUP(B75,RELACIONAMENTOS!N:O,2,0))</f>
        <v>0</v>
      </c>
      <c r="V75" s="83">
        <f t="shared" si="20"/>
        <v>0.04</v>
      </c>
      <c r="W75" s="84">
        <f>VLOOKUP(E75,RELACIONAMENTOS!$Q$1:$S$11,3,1)</f>
        <v>0.04</v>
      </c>
    </row>
    <row r="76" spans="1:23" x14ac:dyDescent="0.25">
      <c r="A76" s="45" t="s">
        <v>27</v>
      </c>
      <c r="B76" s="45" t="s">
        <v>2</v>
      </c>
      <c r="C76" s="45">
        <v>203</v>
      </c>
      <c r="D76" s="46">
        <v>3.5</v>
      </c>
      <c r="E76" s="47">
        <f t="shared" si="11"/>
        <v>710.5</v>
      </c>
      <c r="F76" s="48">
        <v>40900</v>
      </c>
      <c r="G76" s="79" t="str">
        <f t="shared" si="12"/>
        <v>dezembro</v>
      </c>
      <c r="H76">
        <f t="shared" si="13"/>
        <v>2011</v>
      </c>
      <c r="I76" s="81" t="str">
        <f t="shared" si="14"/>
        <v>dezembro/2011</v>
      </c>
      <c r="J76" s="80" t="str">
        <f t="shared" si="15"/>
        <v>sexta-feira</v>
      </c>
      <c r="K76" t="str">
        <f>VLOOKUP(A76,RELACIONAMENTOS!A:C,2,0)</f>
        <v>ABC REMÉDIOS</v>
      </c>
      <c r="L76" t="str">
        <f>VLOOKUP(A76,RELACIONAMENTOS!A:C,3,0)</f>
        <v>Talita</v>
      </c>
      <c r="M76" t="str">
        <f>VLOOKUP(B76,RELACIONAMENTOS!E:F,2,0)</f>
        <v>João</v>
      </c>
      <c r="N76" t="str">
        <f>VLOOKUP(B76,RELACIONAMENTOS!H:I,2,0)</f>
        <v>Tatiane</v>
      </c>
      <c r="O76">
        <f>VLOOKUP(A76,RELACIONAMENTOS!K:L,2,0)</f>
        <v>789123456</v>
      </c>
      <c r="P76">
        <f>VLOOKUP(B76,RELACIONAMENTOS!N:O,2,0)</f>
        <v>230</v>
      </c>
      <c r="Q76" s="82" t="str">
        <f t="shared" si="16"/>
        <v>Meta atingida</v>
      </c>
      <c r="R76" s="80" t="str">
        <f t="shared" si="17"/>
        <v>Não atingida</v>
      </c>
      <c r="S76" t="str">
        <f t="shared" si="18"/>
        <v>Sim</v>
      </c>
      <c r="T76" t="str">
        <f t="shared" si="19"/>
        <v>Não</v>
      </c>
      <c r="U76" s="80">
        <f>IF(E76&gt;=500,0,VLOOKUP(B76,RELACIONAMENTOS!N:O,2,0))</f>
        <v>0</v>
      </c>
      <c r="V76" s="83">
        <f t="shared" si="20"/>
        <v>0.04</v>
      </c>
      <c r="W76" s="84">
        <f>VLOOKUP(E76,RELACIONAMENTOS!$Q$1:$S$11,3,1)</f>
        <v>0.04</v>
      </c>
    </row>
    <row r="77" spans="1:23" x14ac:dyDescent="0.25">
      <c r="A77" s="45" t="s">
        <v>27</v>
      </c>
      <c r="B77" s="45" t="s">
        <v>2</v>
      </c>
      <c r="C77" s="45">
        <v>100</v>
      </c>
      <c r="D77" s="46">
        <v>3.5</v>
      </c>
      <c r="E77" s="47">
        <f t="shared" si="11"/>
        <v>350</v>
      </c>
      <c r="F77" s="48">
        <v>40899</v>
      </c>
      <c r="G77" s="79" t="str">
        <f t="shared" si="12"/>
        <v>dezembro</v>
      </c>
      <c r="H77">
        <f t="shared" si="13"/>
        <v>2011</v>
      </c>
      <c r="I77" s="81" t="str">
        <f t="shared" si="14"/>
        <v>dezembro/2011</v>
      </c>
      <c r="J77" s="80" t="str">
        <f t="shared" si="15"/>
        <v>quinta-feira</v>
      </c>
      <c r="K77" t="str">
        <f>VLOOKUP(A77,RELACIONAMENTOS!A:C,2,0)</f>
        <v>ABC REMÉDIOS</v>
      </c>
      <c r="L77" t="str">
        <f>VLOOKUP(A77,RELACIONAMENTOS!A:C,3,0)</f>
        <v>Talita</v>
      </c>
      <c r="M77" t="str">
        <f>VLOOKUP(B77,RELACIONAMENTOS!E:F,2,0)</f>
        <v>João</v>
      </c>
      <c r="N77" t="str">
        <f>VLOOKUP(B77,RELACIONAMENTOS!H:I,2,0)</f>
        <v>Tatiane</v>
      </c>
      <c r="O77">
        <f>VLOOKUP(A77,RELACIONAMENTOS!K:L,2,0)</f>
        <v>789123456</v>
      </c>
      <c r="P77">
        <f>VLOOKUP(B77,RELACIONAMENTOS!N:O,2,0)</f>
        <v>230</v>
      </c>
      <c r="Q77" s="82" t="str">
        <f t="shared" si="16"/>
        <v>Não atingida</v>
      </c>
      <c r="R77" s="80" t="str">
        <f t="shared" si="17"/>
        <v>Não atingida</v>
      </c>
      <c r="S77" t="str">
        <f t="shared" si="18"/>
        <v>Não</v>
      </c>
      <c r="T77" t="str">
        <f t="shared" si="19"/>
        <v>Não</v>
      </c>
      <c r="U77" s="80">
        <f>IF(E77&gt;=500,0,VLOOKUP(B77,RELACIONAMENTOS!N:O,2,0))</f>
        <v>230</v>
      </c>
      <c r="V77" s="83">
        <f t="shared" si="20"/>
        <v>0.02</v>
      </c>
      <c r="W77" s="84">
        <f>VLOOKUP(E77,RELACIONAMENTOS!$Q$1:$S$11,3,1)</f>
        <v>0.02</v>
      </c>
    </row>
    <row r="78" spans="1:23" x14ac:dyDescent="0.25">
      <c r="A78" s="45" t="s">
        <v>27</v>
      </c>
      <c r="B78" s="45" t="s">
        <v>2</v>
      </c>
      <c r="C78" s="45">
        <v>100</v>
      </c>
      <c r="D78" s="46">
        <v>3.5</v>
      </c>
      <c r="E78" s="47">
        <f t="shared" si="11"/>
        <v>350</v>
      </c>
      <c r="F78" s="48">
        <v>40898</v>
      </c>
      <c r="G78" s="79" t="str">
        <f t="shared" si="12"/>
        <v>dezembro</v>
      </c>
      <c r="H78">
        <f t="shared" si="13"/>
        <v>2011</v>
      </c>
      <c r="I78" s="81" t="str">
        <f t="shared" si="14"/>
        <v>dezembro/2011</v>
      </c>
      <c r="J78" s="80" t="str">
        <f t="shared" si="15"/>
        <v>quarta-feira</v>
      </c>
      <c r="K78" t="str">
        <f>VLOOKUP(A78,RELACIONAMENTOS!A:C,2,0)</f>
        <v>ABC REMÉDIOS</v>
      </c>
      <c r="L78" t="str">
        <f>VLOOKUP(A78,RELACIONAMENTOS!A:C,3,0)</f>
        <v>Talita</v>
      </c>
      <c r="M78" t="str">
        <f>VLOOKUP(B78,RELACIONAMENTOS!E:F,2,0)</f>
        <v>João</v>
      </c>
      <c r="N78" t="str">
        <f>VLOOKUP(B78,RELACIONAMENTOS!H:I,2,0)</f>
        <v>Tatiane</v>
      </c>
      <c r="O78">
        <f>VLOOKUP(A78,RELACIONAMENTOS!K:L,2,0)</f>
        <v>789123456</v>
      </c>
      <c r="P78">
        <f>VLOOKUP(B78,RELACIONAMENTOS!N:O,2,0)</f>
        <v>230</v>
      </c>
      <c r="Q78" s="82" t="str">
        <f t="shared" si="16"/>
        <v>Não atingida</v>
      </c>
      <c r="R78" s="80" t="str">
        <f t="shared" si="17"/>
        <v>Não atingida</v>
      </c>
      <c r="S78" t="str">
        <f t="shared" si="18"/>
        <v>Não</v>
      </c>
      <c r="T78" t="str">
        <f t="shared" si="19"/>
        <v>Não</v>
      </c>
      <c r="U78" s="80">
        <f>IF(E78&gt;=500,0,VLOOKUP(B78,RELACIONAMENTOS!N:O,2,0))</f>
        <v>230</v>
      </c>
      <c r="V78" s="83">
        <f t="shared" si="20"/>
        <v>0.02</v>
      </c>
      <c r="W78" s="84">
        <f>VLOOKUP(E78,RELACIONAMENTOS!$Q$1:$S$11,3,1)</f>
        <v>0.02</v>
      </c>
    </row>
    <row r="79" spans="1:23" x14ac:dyDescent="0.25">
      <c r="A79" s="45" t="s">
        <v>27</v>
      </c>
      <c r="B79" s="45" t="s">
        <v>2</v>
      </c>
      <c r="C79" s="45">
        <v>100</v>
      </c>
      <c r="D79" s="46">
        <v>3.5</v>
      </c>
      <c r="E79" s="47">
        <f t="shared" si="11"/>
        <v>350</v>
      </c>
      <c r="F79" s="48">
        <v>40897</v>
      </c>
      <c r="G79" s="79" t="str">
        <f t="shared" si="12"/>
        <v>dezembro</v>
      </c>
      <c r="H79">
        <f t="shared" si="13"/>
        <v>2011</v>
      </c>
      <c r="I79" s="81" t="str">
        <f t="shared" si="14"/>
        <v>dezembro/2011</v>
      </c>
      <c r="J79" s="80" t="str">
        <f t="shared" si="15"/>
        <v>terça-feira</v>
      </c>
      <c r="K79" t="str">
        <f>VLOOKUP(A79,RELACIONAMENTOS!A:C,2,0)</f>
        <v>ABC REMÉDIOS</v>
      </c>
      <c r="L79" t="str">
        <f>VLOOKUP(A79,RELACIONAMENTOS!A:C,3,0)</f>
        <v>Talita</v>
      </c>
      <c r="M79" t="str">
        <f>VLOOKUP(B79,RELACIONAMENTOS!E:F,2,0)</f>
        <v>João</v>
      </c>
      <c r="N79" t="str">
        <f>VLOOKUP(B79,RELACIONAMENTOS!H:I,2,0)</f>
        <v>Tatiane</v>
      </c>
      <c r="O79">
        <f>VLOOKUP(A79,RELACIONAMENTOS!K:L,2,0)</f>
        <v>789123456</v>
      </c>
      <c r="P79">
        <f>VLOOKUP(B79,RELACIONAMENTOS!N:O,2,0)</f>
        <v>230</v>
      </c>
      <c r="Q79" s="82" t="str">
        <f t="shared" si="16"/>
        <v>Não atingida</v>
      </c>
      <c r="R79" s="80" t="str">
        <f t="shared" si="17"/>
        <v>Não atingida</v>
      </c>
      <c r="S79" t="str">
        <f t="shared" si="18"/>
        <v>Não</v>
      </c>
      <c r="T79" t="str">
        <f t="shared" si="19"/>
        <v>Não</v>
      </c>
      <c r="U79" s="80">
        <f>IF(E79&gt;=500,0,VLOOKUP(B79,RELACIONAMENTOS!N:O,2,0))</f>
        <v>230</v>
      </c>
      <c r="V79" s="83">
        <f t="shared" si="20"/>
        <v>0.02</v>
      </c>
      <c r="W79" s="84">
        <f>VLOOKUP(E79,RELACIONAMENTOS!$Q$1:$S$11,3,1)</f>
        <v>0.02</v>
      </c>
    </row>
    <row r="80" spans="1:23" x14ac:dyDescent="0.25">
      <c r="A80" s="45" t="s">
        <v>27</v>
      </c>
      <c r="B80" s="45" t="s">
        <v>2</v>
      </c>
      <c r="C80" s="45">
        <v>20</v>
      </c>
      <c r="D80" s="46">
        <v>3</v>
      </c>
      <c r="E80" s="47">
        <f t="shared" si="11"/>
        <v>60</v>
      </c>
      <c r="F80" s="48">
        <v>40896</v>
      </c>
      <c r="G80" s="79" t="str">
        <f t="shared" si="12"/>
        <v>dezembro</v>
      </c>
      <c r="H80">
        <f t="shared" si="13"/>
        <v>2011</v>
      </c>
      <c r="I80" s="81" t="str">
        <f t="shared" si="14"/>
        <v>dezembro/2011</v>
      </c>
      <c r="J80" s="80" t="str">
        <f t="shared" si="15"/>
        <v>segunda-feira</v>
      </c>
      <c r="K80" t="str">
        <f>VLOOKUP(A80,RELACIONAMENTOS!A:C,2,0)</f>
        <v>ABC REMÉDIOS</v>
      </c>
      <c r="L80" t="str">
        <f>VLOOKUP(A80,RELACIONAMENTOS!A:C,3,0)</f>
        <v>Talita</v>
      </c>
      <c r="M80" t="str">
        <f>VLOOKUP(B80,RELACIONAMENTOS!E:F,2,0)</f>
        <v>João</v>
      </c>
      <c r="N80" t="str">
        <f>VLOOKUP(B80,RELACIONAMENTOS!H:I,2,0)</f>
        <v>Tatiane</v>
      </c>
      <c r="O80">
        <f>VLOOKUP(A80,RELACIONAMENTOS!K:L,2,0)</f>
        <v>789123456</v>
      </c>
      <c r="P80">
        <f>VLOOKUP(B80,RELACIONAMENTOS!N:O,2,0)</f>
        <v>230</v>
      </c>
      <c r="Q80" s="82" t="str">
        <f t="shared" si="16"/>
        <v>Não atingida</v>
      </c>
      <c r="R80" s="80" t="str">
        <f t="shared" si="17"/>
        <v>Não atingida</v>
      </c>
      <c r="S80" t="str">
        <f t="shared" si="18"/>
        <v>Não</v>
      </c>
      <c r="T80" t="str">
        <f t="shared" si="19"/>
        <v>Não</v>
      </c>
      <c r="U80" s="80">
        <f>IF(E80&gt;=500,0,VLOOKUP(B80,RELACIONAMENTOS!N:O,2,0))</f>
        <v>230</v>
      </c>
      <c r="V80" s="83">
        <f t="shared" si="20"/>
        <v>0.01</v>
      </c>
      <c r="W80" s="84">
        <f>VLOOKUP(E80,RELACIONAMENTOS!$Q$1:$S$11,3,1)</f>
        <v>0.01</v>
      </c>
    </row>
    <row r="81" spans="1:23" x14ac:dyDescent="0.25">
      <c r="A81" s="45" t="s">
        <v>27</v>
      </c>
      <c r="B81" s="45" t="s">
        <v>2</v>
      </c>
      <c r="C81" s="45">
        <v>10</v>
      </c>
      <c r="D81" s="46">
        <v>3</v>
      </c>
      <c r="E81" s="47">
        <f t="shared" si="11"/>
        <v>30</v>
      </c>
      <c r="F81" s="48">
        <v>40895</v>
      </c>
      <c r="G81" s="79" t="str">
        <f t="shared" si="12"/>
        <v>dezembro</v>
      </c>
      <c r="H81">
        <f t="shared" si="13"/>
        <v>2011</v>
      </c>
      <c r="I81" s="81" t="str">
        <f t="shared" si="14"/>
        <v>dezembro/2011</v>
      </c>
      <c r="J81" s="80" t="str">
        <f t="shared" si="15"/>
        <v>domingo</v>
      </c>
      <c r="K81" t="str">
        <f>VLOOKUP(A81,RELACIONAMENTOS!A:C,2,0)</f>
        <v>ABC REMÉDIOS</v>
      </c>
      <c r="L81" t="str">
        <f>VLOOKUP(A81,RELACIONAMENTOS!A:C,3,0)</f>
        <v>Talita</v>
      </c>
      <c r="M81" t="str">
        <f>VLOOKUP(B81,RELACIONAMENTOS!E:F,2,0)</f>
        <v>João</v>
      </c>
      <c r="N81" t="str">
        <f>VLOOKUP(B81,RELACIONAMENTOS!H:I,2,0)</f>
        <v>Tatiane</v>
      </c>
      <c r="O81">
        <f>VLOOKUP(A81,RELACIONAMENTOS!K:L,2,0)</f>
        <v>789123456</v>
      </c>
      <c r="P81">
        <f>VLOOKUP(B81,RELACIONAMENTOS!N:O,2,0)</f>
        <v>230</v>
      </c>
      <c r="Q81" s="82" t="str">
        <f t="shared" si="16"/>
        <v>Não atingida</v>
      </c>
      <c r="R81" s="80" t="str">
        <f t="shared" si="17"/>
        <v>Não atingida</v>
      </c>
      <c r="S81" t="str">
        <f t="shared" si="18"/>
        <v>Não</v>
      </c>
      <c r="T81" t="str">
        <f t="shared" si="19"/>
        <v>Não</v>
      </c>
      <c r="U81" s="80">
        <f>IF(E81&gt;=500,0,VLOOKUP(B81,RELACIONAMENTOS!N:O,2,0))</f>
        <v>230</v>
      </c>
      <c r="V81" s="83">
        <f t="shared" si="20"/>
        <v>0.01</v>
      </c>
      <c r="W81" s="84">
        <f>VLOOKUP(E81,RELACIONAMENTOS!$Q$1:$S$11,3,1)</f>
        <v>0.01</v>
      </c>
    </row>
    <row r="82" spans="1:23" x14ac:dyDescent="0.25">
      <c r="A82" s="45" t="s">
        <v>27</v>
      </c>
      <c r="B82" s="45" t="s">
        <v>2</v>
      </c>
      <c r="C82" s="45">
        <v>10</v>
      </c>
      <c r="D82" s="46">
        <v>3</v>
      </c>
      <c r="E82" s="47">
        <f t="shared" si="11"/>
        <v>30</v>
      </c>
      <c r="F82" s="48">
        <v>40894</v>
      </c>
      <c r="G82" s="79" t="str">
        <f t="shared" si="12"/>
        <v>dezembro</v>
      </c>
      <c r="H82">
        <f t="shared" si="13"/>
        <v>2011</v>
      </c>
      <c r="I82" s="81" t="str">
        <f t="shared" si="14"/>
        <v>dezembro/2011</v>
      </c>
      <c r="J82" s="80" t="str">
        <f t="shared" si="15"/>
        <v>sábado</v>
      </c>
      <c r="K82" t="str">
        <f>VLOOKUP(A82,RELACIONAMENTOS!A:C,2,0)</f>
        <v>ABC REMÉDIOS</v>
      </c>
      <c r="L82" t="str">
        <f>VLOOKUP(A82,RELACIONAMENTOS!A:C,3,0)</f>
        <v>Talita</v>
      </c>
      <c r="M82" t="str">
        <f>VLOOKUP(B82,RELACIONAMENTOS!E:F,2,0)</f>
        <v>João</v>
      </c>
      <c r="N82" t="str">
        <f>VLOOKUP(B82,RELACIONAMENTOS!H:I,2,0)</f>
        <v>Tatiane</v>
      </c>
      <c r="O82">
        <f>VLOOKUP(A82,RELACIONAMENTOS!K:L,2,0)</f>
        <v>789123456</v>
      </c>
      <c r="P82">
        <f>VLOOKUP(B82,RELACIONAMENTOS!N:O,2,0)</f>
        <v>230</v>
      </c>
      <c r="Q82" s="82" t="str">
        <f t="shared" si="16"/>
        <v>Não atingida</v>
      </c>
      <c r="R82" s="80" t="str">
        <f t="shared" si="17"/>
        <v>Não atingida</v>
      </c>
      <c r="S82" t="str">
        <f t="shared" si="18"/>
        <v>Não</v>
      </c>
      <c r="T82" t="str">
        <f t="shared" si="19"/>
        <v>Não</v>
      </c>
      <c r="U82" s="80">
        <f>IF(E82&gt;=500,0,VLOOKUP(B82,RELACIONAMENTOS!N:O,2,0))</f>
        <v>230</v>
      </c>
      <c r="V82" s="83">
        <f t="shared" si="20"/>
        <v>0.01</v>
      </c>
      <c r="W82" s="84">
        <f>VLOOKUP(E82,RELACIONAMENTOS!$Q$1:$S$11,3,1)</f>
        <v>0.01</v>
      </c>
    </row>
    <row r="83" spans="1:23" x14ac:dyDescent="0.25">
      <c r="A83" s="45" t="s">
        <v>27</v>
      </c>
      <c r="B83" s="45" t="s">
        <v>2</v>
      </c>
      <c r="C83" s="45">
        <v>300</v>
      </c>
      <c r="D83" s="46">
        <v>3</v>
      </c>
      <c r="E83" s="47">
        <f t="shared" si="11"/>
        <v>900</v>
      </c>
      <c r="F83" s="48">
        <v>40893</v>
      </c>
      <c r="G83" s="79" t="str">
        <f t="shared" si="12"/>
        <v>dezembro</v>
      </c>
      <c r="H83">
        <f t="shared" si="13"/>
        <v>2011</v>
      </c>
      <c r="I83" s="81" t="str">
        <f t="shared" si="14"/>
        <v>dezembro/2011</v>
      </c>
      <c r="J83" s="80" t="str">
        <f t="shared" si="15"/>
        <v>sexta-feira</v>
      </c>
      <c r="K83" t="str">
        <f>VLOOKUP(A83,RELACIONAMENTOS!A:C,2,0)</f>
        <v>ABC REMÉDIOS</v>
      </c>
      <c r="L83" t="str">
        <f>VLOOKUP(A83,RELACIONAMENTOS!A:C,3,0)</f>
        <v>Talita</v>
      </c>
      <c r="M83" t="str">
        <f>VLOOKUP(B83,RELACIONAMENTOS!E:F,2,0)</f>
        <v>João</v>
      </c>
      <c r="N83" t="str">
        <f>VLOOKUP(B83,RELACIONAMENTOS!H:I,2,0)</f>
        <v>Tatiane</v>
      </c>
      <c r="O83">
        <f>VLOOKUP(A83,RELACIONAMENTOS!K:L,2,0)</f>
        <v>789123456</v>
      </c>
      <c r="P83">
        <f>VLOOKUP(B83,RELACIONAMENTOS!N:O,2,0)</f>
        <v>230</v>
      </c>
      <c r="Q83" s="82" t="str">
        <f t="shared" si="16"/>
        <v>Meta atingida</v>
      </c>
      <c r="R83" s="80" t="str">
        <f t="shared" si="17"/>
        <v>Não atingida</v>
      </c>
      <c r="S83" t="str">
        <f t="shared" si="18"/>
        <v>Sim</v>
      </c>
      <c r="T83" t="str">
        <f t="shared" si="19"/>
        <v>Não</v>
      </c>
      <c r="U83" s="80">
        <f>IF(E83&gt;=500,0,VLOOKUP(B83,RELACIONAMENTOS!N:O,2,0))</f>
        <v>0</v>
      </c>
      <c r="V83" s="83">
        <f t="shared" si="20"/>
        <v>0.05</v>
      </c>
      <c r="W83" s="84">
        <f>VLOOKUP(E83,RELACIONAMENTOS!$Q$1:$S$11,3,1)</f>
        <v>0.05</v>
      </c>
    </row>
    <row r="84" spans="1:23" x14ac:dyDescent="0.25">
      <c r="A84" s="45" t="s">
        <v>27</v>
      </c>
      <c r="B84" s="45" t="s">
        <v>2</v>
      </c>
      <c r="C84" s="45">
        <v>10</v>
      </c>
      <c r="D84" s="46">
        <v>3</v>
      </c>
      <c r="E84" s="47">
        <f t="shared" si="11"/>
        <v>30</v>
      </c>
      <c r="F84" s="48">
        <v>40892</v>
      </c>
      <c r="G84" s="79" t="str">
        <f t="shared" si="12"/>
        <v>dezembro</v>
      </c>
      <c r="H84">
        <f t="shared" si="13"/>
        <v>2011</v>
      </c>
      <c r="I84" s="81" t="str">
        <f t="shared" si="14"/>
        <v>dezembro/2011</v>
      </c>
      <c r="J84" s="80" t="str">
        <f t="shared" si="15"/>
        <v>quinta-feira</v>
      </c>
      <c r="K84" t="str">
        <f>VLOOKUP(A84,RELACIONAMENTOS!A:C,2,0)</f>
        <v>ABC REMÉDIOS</v>
      </c>
      <c r="L84" t="str">
        <f>VLOOKUP(A84,RELACIONAMENTOS!A:C,3,0)</f>
        <v>Talita</v>
      </c>
      <c r="M84" t="str">
        <f>VLOOKUP(B84,RELACIONAMENTOS!E:F,2,0)</f>
        <v>João</v>
      </c>
      <c r="N84" t="str">
        <f>VLOOKUP(B84,RELACIONAMENTOS!H:I,2,0)</f>
        <v>Tatiane</v>
      </c>
      <c r="O84">
        <f>VLOOKUP(A84,RELACIONAMENTOS!K:L,2,0)</f>
        <v>789123456</v>
      </c>
      <c r="P84">
        <f>VLOOKUP(B84,RELACIONAMENTOS!N:O,2,0)</f>
        <v>230</v>
      </c>
      <c r="Q84" s="82" t="str">
        <f t="shared" si="16"/>
        <v>Não atingida</v>
      </c>
      <c r="R84" s="80" t="str">
        <f t="shared" si="17"/>
        <v>Não atingida</v>
      </c>
      <c r="S84" t="str">
        <f t="shared" si="18"/>
        <v>Não</v>
      </c>
      <c r="T84" t="str">
        <f t="shared" si="19"/>
        <v>Não</v>
      </c>
      <c r="U84" s="80">
        <f>IF(E84&gt;=500,0,VLOOKUP(B84,RELACIONAMENTOS!N:O,2,0))</f>
        <v>230</v>
      </c>
      <c r="V84" s="83">
        <f t="shared" si="20"/>
        <v>0.01</v>
      </c>
      <c r="W84" s="84">
        <f>VLOOKUP(E84,RELACIONAMENTOS!$Q$1:$S$11,3,1)</f>
        <v>0.01</v>
      </c>
    </row>
    <row r="85" spans="1:23" x14ac:dyDescent="0.25">
      <c r="A85" s="45" t="s">
        <v>27</v>
      </c>
      <c r="B85" s="45" t="s">
        <v>2</v>
      </c>
      <c r="C85" s="45">
        <v>344</v>
      </c>
      <c r="D85" s="46">
        <v>3</v>
      </c>
      <c r="E85" s="47">
        <f t="shared" si="11"/>
        <v>1032</v>
      </c>
      <c r="F85" s="48">
        <v>40891</v>
      </c>
      <c r="G85" s="79" t="str">
        <f t="shared" si="12"/>
        <v>dezembro</v>
      </c>
      <c r="H85">
        <f t="shared" si="13"/>
        <v>2011</v>
      </c>
      <c r="I85" s="81" t="str">
        <f t="shared" si="14"/>
        <v>dezembro/2011</v>
      </c>
      <c r="J85" s="80" t="str">
        <f t="shared" si="15"/>
        <v>quarta-feira</v>
      </c>
      <c r="K85" t="str">
        <f>VLOOKUP(A85,RELACIONAMENTOS!A:C,2,0)</f>
        <v>ABC REMÉDIOS</v>
      </c>
      <c r="L85" t="str">
        <f>VLOOKUP(A85,RELACIONAMENTOS!A:C,3,0)</f>
        <v>Talita</v>
      </c>
      <c r="M85" t="str">
        <f>VLOOKUP(B85,RELACIONAMENTOS!E:F,2,0)</f>
        <v>João</v>
      </c>
      <c r="N85" t="str">
        <f>VLOOKUP(B85,RELACIONAMENTOS!H:I,2,0)</f>
        <v>Tatiane</v>
      </c>
      <c r="O85">
        <f>VLOOKUP(A85,RELACIONAMENTOS!K:L,2,0)</f>
        <v>789123456</v>
      </c>
      <c r="P85">
        <f>VLOOKUP(B85,RELACIONAMENTOS!N:O,2,0)</f>
        <v>230</v>
      </c>
      <c r="Q85" s="82" t="str">
        <f t="shared" si="16"/>
        <v>Meta atingida</v>
      </c>
      <c r="R85" s="80" t="str">
        <f t="shared" si="17"/>
        <v>Meta atingida</v>
      </c>
      <c r="S85" t="str">
        <f t="shared" si="18"/>
        <v>Sim</v>
      </c>
      <c r="T85" t="str">
        <f t="shared" si="19"/>
        <v>Sim</v>
      </c>
      <c r="U85" s="80">
        <f>IF(E85&gt;=500,0,VLOOKUP(B85,RELACIONAMENTOS!N:O,2,0))</f>
        <v>0</v>
      </c>
      <c r="V85" s="83">
        <f t="shared" si="20"/>
        <v>0.1</v>
      </c>
      <c r="W85" s="84">
        <f>VLOOKUP(E85,RELACIONAMENTOS!$Q$1:$S$11,3,1)</f>
        <v>0.06</v>
      </c>
    </row>
    <row r="86" spans="1:23" x14ac:dyDescent="0.25">
      <c r="A86" s="45" t="s">
        <v>27</v>
      </c>
      <c r="B86" s="45" t="s">
        <v>2</v>
      </c>
      <c r="C86" s="45">
        <v>344</v>
      </c>
      <c r="D86" s="46">
        <v>3</v>
      </c>
      <c r="E86" s="47">
        <f t="shared" si="11"/>
        <v>1032</v>
      </c>
      <c r="F86" s="48">
        <v>40890</v>
      </c>
      <c r="G86" s="79" t="str">
        <f t="shared" si="12"/>
        <v>dezembro</v>
      </c>
      <c r="H86">
        <f t="shared" si="13"/>
        <v>2011</v>
      </c>
      <c r="I86" s="81" t="str">
        <f t="shared" si="14"/>
        <v>dezembro/2011</v>
      </c>
      <c r="J86" s="80" t="str">
        <f t="shared" si="15"/>
        <v>terça-feira</v>
      </c>
      <c r="K86" t="str">
        <f>VLOOKUP(A86,RELACIONAMENTOS!A:C,2,0)</f>
        <v>ABC REMÉDIOS</v>
      </c>
      <c r="L86" t="str">
        <f>VLOOKUP(A86,RELACIONAMENTOS!A:C,3,0)</f>
        <v>Talita</v>
      </c>
      <c r="M86" t="str">
        <f>VLOOKUP(B86,RELACIONAMENTOS!E:F,2,0)</f>
        <v>João</v>
      </c>
      <c r="N86" t="str">
        <f>VLOOKUP(B86,RELACIONAMENTOS!H:I,2,0)</f>
        <v>Tatiane</v>
      </c>
      <c r="O86">
        <f>VLOOKUP(A86,RELACIONAMENTOS!K:L,2,0)</f>
        <v>789123456</v>
      </c>
      <c r="P86">
        <f>VLOOKUP(B86,RELACIONAMENTOS!N:O,2,0)</f>
        <v>230</v>
      </c>
      <c r="Q86" s="82" t="str">
        <f t="shared" si="16"/>
        <v>Meta atingida</v>
      </c>
      <c r="R86" s="80" t="str">
        <f t="shared" si="17"/>
        <v>Meta atingida</v>
      </c>
      <c r="S86" t="str">
        <f t="shared" si="18"/>
        <v>Sim</v>
      </c>
      <c r="T86" t="str">
        <f t="shared" si="19"/>
        <v>Sim</v>
      </c>
      <c r="U86" s="80">
        <f>IF(E86&gt;=500,0,VLOOKUP(B86,RELACIONAMENTOS!N:O,2,0))</f>
        <v>0</v>
      </c>
      <c r="V86" s="83">
        <f t="shared" si="20"/>
        <v>0.1</v>
      </c>
      <c r="W86" s="84">
        <f>VLOOKUP(E86,RELACIONAMENTOS!$Q$1:$S$11,3,1)</f>
        <v>0.06</v>
      </c>
    </row>
    <row r="87" spans="1:23" x14ac:dyDescent="0.25">
      <c r="A87" s="45" t="s">
        <v>271</v>
      </c>
      <c r="B87" s="45" t="s">
        <v>2</v>
      </c>
      <c r="C87" s="45">
        <v>344</v>
      </c>
      <c r="D87" s="46">
        <v>3</v>
      </c>
      <c r="E87" s="47">
        <f t="shared" si="11"/>
        <v>1032</v>
      </c>
      <c r="F87" s="48">
        <v>40889</v>
      </c>
      <c r="G87" s="79" t="str">
        <f t="shared" si="12"/>
        <v>dezembro</v>
      </c>
      <c r="H87">
        <f t="shared" si="13"/>
        <v>2011</v>
      </c>
      <c r="I87" s="81" t="str">
        <f t="shared" si="14"/>
        <v>dezembro/2011</v>
      </c>
      <c r="J87" s="80" t="str">
        <f t="shared" si="15"/>
        <v>segunda-feira</v>
      </c>
      <c r="K87" t="str">
        <f>VLOOKUP(A87,RELACIONAMENTOS!A:C,2,0)</f>
        <v>Coopercarga</v>
      </c>
      <c r="L87" t="str">
        <f>VLOOKUP(A87,RELACIONAMENTOS!A:C,3,0)</f>
        <v>Fernando</v>
      </c>
      <c r="M87" t="str">
        <f>VLOOKUP(B87,RELACIONAMENTOS!E:F,2,0)</f>
        <v>João</v>
      </c>
      <c r="N87" t="str">
        <f>VLOOKUP(B87,RELACIONAMENTOS!H:I,2,0)</f>
        <v>Tatiane</v>
      </c>
      <c r="O87">
        <f>VLOOKUP(A87,RELACIONAMENTOS!K:L,2,0)</f>
        <v>7891234567</v>
      </c>
      <c r="P87">
        <f>VLOOKUP(B87,RELACIONAMENTOS!N:O,2,0)</f>
        <v>230</v>
      </c>
      <c r="Q87" s="82" t="str">
        <f t="shared" si="16"/>
        <v>Meta atingida</v>
      </c>
      <c r="R87" s="80" t="str">
        <f t="shared" si="17"/>
        <v>Meta atingida</v>
      </c>
      <c r="S87" t="str">
        <f t="shared" si="18"/>
        <v>Sim</v>
      </c>
      <c r="T87" t="str">
        <f t="shared" si="19"/>
        <v>Sim</v>
      </c>
      <c r="U87" s="80">
        <f>IF(E87&gt;=500,0,VLOOKUP(B87,RELACIONAMENTOS!N:O,2,0))</f>
        <v>0</v>
      </c>
      <c r="V87" s="83">
        <f t="shared" si="20"/>
        <v>0.1</v>
      </c>
      <c r="W87" s="84">
        <f>VLOOKUP(E87,RELACIONAMENTOS!$Q$1:$S$11,3,1)</f>
        <v>0.06</v>
      </c>
    </row>
    <row r="88" spans="1:23" x14ac:dyDescent="0.25">
      <c r="A88" s="45" t="s">
        <v>271</v>
      </c>
      <c r="B88" s="45" t="s">
        <v>2</v>
      </c>
      <c r="C88" s="45">
        <v>344</v>
      </c>
      <c r="D88" s="46">
        <v>3</v>
      </c>
      <c r="E88" s="47">
        <f t="shared" si="11"/>
        <v>1032</v>
      </c>
      <c r="F88" s="48">
        <v>40888</v>
      </c>
      <c r="G88" s="79" t="str">
        <f t="shared" si="12"/>
        <v>dezembro</v>
      </c>
      <c r="H88">
        <f t="shared" si="13"/>
        <v>2011</v>
      </c>
      <c r="I88" s="81" t="str">
        <f t="shared" si="14"/>
        <v>dezembro/2011</v>
      </c>
      <c r="J88" s="80" t="str">
        <f t="shared" si="15"/>
        <v>domingo</v>
      </c>
      <c r="K88" t="str">
        <f>VLOOKUP(A88,RELACIONAMENTOS!A:C,2,0)</f>
        <v>Coopercarga</v>
      </c>
      <c r="L88" t="str">
        <f>VLOOKUP(A88,RELACIONAMENTOS!A:C,3,0)</f>
        <v>Fernando</v>
      </c>
      <c r="M88" t="str">
        <f>VLOOKUP(B88,RELACIONAMENTOS!E:F,2,0)</f>
        <v>João</v>
      </c>
      <c r="N88" t="str">
        <f>VLOOKUP(B88,RELACIONAMENTOS!H:I,2,0)</f>
        <v>Tatiane</v>
      </c>
      <c r="O88">
        <f>VLOOKUP(A88,RELACIONAMENTOS!K:L,2,0)</f>
        <v>7891234567</v>
      </c>
      <c r="P88">
        <f>VLOOKUP(B88,RELACIONAMENTOS!N:O,2,0)</f>
        <v>230</v>
      </c>
      <c r="Q88" s="82" t="str">
        <f t="shared" si="16"/>
        <v>Meta atingida</v>
      </c>
      <c r="R88" s="80" t="str">
        <f t="shared" si="17"/>
        <v>Meta atingida</v>
      </c>
      <c r="S88" t="str">
        <f t="shared" si="18"/>
        <v>Sim</v>
      </c>
      <c r="T88" t="str">
        <f t="shared" si="19"/>
        <v>Sim</v>
      </c>
      <c r="U88" s="80">
        <f>IF(E88&gt;=500,0,VLOOKUP(B88,RELACIONAMENTOS!N:O,2,0))</f>
        <v>0</v>
      </c>
      <c r="V88" s="83">
        <f t="shared" si="20"/>
        <v>0.1</v>
      </c>
      <c r="W88" s="84">
        <f>VLOOKUP(E88,RELACIONAMENTOS!$Q$1:$S$11,3,1)</f>
        <v>0.06</v>
      </c>
    </row>
    <row r="89" spans="1:23" x14ac:dyDescent="0.25">
      <c r="A89" s="45" t="s">
        <v>271</v>
      </c>
      <c r="B89" s="45" t="s">
        <v>2</v>
      </c>
      <c r="C89" s="45">
        <v>100</v>
      </c>
      <c r="D89" s="46">
        <v>5</v>
      </c>
      <c r="E89" s="47">
        <f t="shared" si="11"/>
        <v>500</v>
      </c>
      <c r="F89" s="48">
        <v>40887</v>
      </c>
      <c r="G89" s="79" t="str">
        <f t="shared" si="12"/>
        <v>dezembro</v>
      </c>
      <c r="H89">
        <f t="shared" si="13"/>
        <v>2011</v>
      </c>
      <c r="I89" s="81" t="str">
        <f t="shared" si="14"/>
        <v>dezembro/2011</v>
      </c>
      <c r="J89" s="80" t="str">
        <f t="shared" si="15"/>
        <v>sábado</v>
      </c>
      <c r="K89" t="str">
        <f>VLOOKUP(A89,RELACIONAMENTOS!A:C,2,0)</f>
        <v>Coopercarga</v>
      </c>
      <c r="L89" t="str">
        <f>VLOOKUP(A89,RELACIONAMENTOS!A:C,3,0)</f>
        <v>Fernando</v>
      </c>
      <c r="M89" t="str">
        <f>VLOOKUP(B89,RELACIONAMENTOS!E:F,2,0)</f>
        <v>João</v>
      </c>
      <c r="N89" t="str">
        <f>VLOOKUP(B89,RELACIONAMENTOS!H:I,2,0)</f>
        <v>Tatiane</v>
      </c>
      <c r="O89">
        <f>VLOOKUP(A89,RELACIONAMENTOS!K:L,2,0)</f>
        <v>7891234567</v>
      </c>
      <c r="P89">
        <f>VLOOKUP(B89,RELACIONAMENTOS!N:O,2,0)</f>
        <v>230</v>
      </c>
      <c r="Q89" s="82" t="str">
        <f t="shared" si="16"/>
        <v>Não atingida</v>
      </c>
      <c r="R89" s="80" t="str">
        <f t="shared" si="17"/>
        <v>Não atingida</v>
      </c>
      <c r="S89" t="str">
        <f t="shared" si="18"/>
        <v>Não</v>
      </c>
      <c r="T89" t="str">
        <f t="shared" si="19"/>
        <v>Não</v>
      </c>
      <c r="U89" s="80">
        <f>IF(E89&gt;=500,0,VLOOKUP(B89,RELACIONAMENTOS!N:O,2,0))</f>
        <v>0</v>
      </c>
      <c r="V89" s="83">
        <f t="shared" si="20"/>
        <v>0.03</v>
      </c>
      <c r="W89" s="84">
        <f>VLOOKUP(E89,RELACIONAMENTOS!$Q$1:$S$11,3,1)</f>
        <v>0.03</v>
      </c>
    </row>
    <row r="90" spans="1:23" x14ac:dyDescent="0.25">
      <c r="A90" s="45" t="s">
        <v>271</v>
      </c>
      <c r="B90" s="45" t="s">
        <v>2</v>
      </c>
      <c r="C90" s="45">
        <v>110</v>
      </c>
      <c r="D90" s="46">
        <v>1.5</v>
      </c>
      <c r="E90" s="47">
        <f t="shared" si="11"/>
        <v>165</v>
      </c>
      <c r="F90" s="55">
        <v>40886</v>
      </c>
      <c r="G90" s="79" t="str">
        <f t="shared" si="12"/>
        <v>dezembro</v>
      </c>
      <c r="H90">
        <f t="shared" si="13"/>
        <v>2011</v>
      </c>
      <c r="I90" s="81" t="str">
        <f t="shared" si="14"/>
        <v>dezembro/2011</v>
      </c>
      <c r="J90" s="80" t="str">
        <f t="shared" si="15"/>
        <v>sexta-feira</v>
      </c>
      <c r="K90" t="str">
        <f>VLOOKUP(A90,RELACIONAMENTOS!A:C,2,0)</f>
        <v>Coopercarga</v>
      </c>
      <c r="L90" t="str">
        <f>VLOOKUP(A90,RELACIONAMENTOS!A:C,3,0)</f>
        <v>Fernando</v>
      </c>
      <c r="M90" t="str">
        <f>VLOOKUP(B90,RELACIONAMENTOS!E:F,2,0)</f>
        <v>João</v>
      </c>
      <c r="N90" t="str">
        <f>VLOOKUP(B90,RELACIONAMENTOS!H:I,2,0)</f>
        <v>Tatiane</v>
      </c>
      <c r="O90">
        <f>VLOOKUP(A90,RELACIONAMENTOS!K:L,2,0)</f>
        <v>7891234567</v>
      </c>
      <c r="P90">
        <f>VLOOKUP(B90,RELACIONAMENTOS!N:O,2,0)</f>
        <v>230</v>
      </c>
      <c r="Q90" s="82" t="str">
        <f t="shared" si="16"/>
        <v>Não atingida</v>
      </c>
      <c r="R90" s="80" t="str">
        <f t="shared" si="17"/>
        <v>Não atingida</v>
      </c>
      <c r="S90" t="str">
        <f t="shared" si="18"/>
        <v>Não</v>
      </c>
      <c r="T90" t="str">
        <f t="shared" si="19"/>
        <v>Não</v>
      </c>
      <c r="U90" s="80">
        <f>IF(E90&gt;=500,0,VLOOKUP(B90,RELACIONAMENTOS!N:O,2,0))</f>
        <v>230</v>
      </c>
      <c r="V90" s="83">
        <f t="shared" si="20"/>
        <v>0.01</v>
      </c>
      <c r="W90" s="84">
        <f>VLOOKUP(E90,RELACIONAMENTOS!$Q$1:$S$11,3,1)</f>
        <v>0.01</v>
      </c>
    </row>
    <row r="91" spans="1:23" x14ac:dyDescent="0.25">
      <c r="A91" s="45" t="s">
        <v>271</v>
      </c>
      <c r="B91" s="45" t="s">
        <v>2</v>
      </c>
      <c r="C91" s="45">
        <v>600</v>
      </c>
      <c r="D91" s="46">
        <v>1.5</v>
      </c>
      <c r="E91" s="47">
        <f t="shared" si="11"/>
        <v>900</v>
      </c>
      <c r="F91" s="48">
        <v>40886</v>
      </c>
      <c r="G91" s="79" t="str">
        <f t="shared" si="12"/>
        <v>dezembro</v>
      </c>
      <c r="H91">
        <f t="shared" si="13"/>
        <v>2011</v>
      </c>
      <c r="I91" s="81" t="str">
        <f t="shared" si="14"/>
        <v>dezembro/2011</v>
      </c>
      <c r="J91" s="80" t="str">
        <f t="shared" si="15"/>
        <v>sexta-feira</v>
      </c>
      <c r="K91" t="str">
        <f>VLOOKUP(A91,RELACIONAMENTOS!A:C,2,0)</f>
        <v>Coopercarga</v>
      </c>
      <c r="L91" t="str">
        <f>VLOOKUP(A91,RELACIONAMENTOS!A:C,3,0)</f>
        <v>Fernando</v>
      </c>
      <c r="M91" t="str">
        <f>VLOOKUP(B91,RELACIONAMENTOS!E:F,2,0)</f>
        <v>João</v>
      </c>
      <c r="N91" t="str">
        <f>VLOOKUP(B91,RELACIONAMENTOS!H:I,2,0)</f>
        <v>Tatiane</v>
      </c>
      <c r="O91">
        <f>VLOOKUP(A91,RELACIONAMENTOS!K:L,2,0)</f>
        <v>7891234567</v>
      </c>
      <c r="P91">
        <f>VLOOKUP(B91,RELACIONAMENTOS!N:O,2,0)</f>
        <v>230</v>
      </c>
      <c r="Q91" s="82" t="str">
        <f t="shared" si="16"/>
        <v>Meta atingida</v>
      </c>
      <c r="R91" s="80" t="str">
        <f t="shared" si="17"/>
        <v>Meta atingida</v>
      </c>
      <c r="S91" t="str">
        <f t="shared" si="18"/>
        <v>Sim</v>
      </c>
      <c r="T91" t="str">
        <f t="shared" si="19"/>
        <v>Sim</v>
      </c>
      <c r="U91" s="80">
        <f>IF(E91&gt;=500,0,VLOOKUP(B91,RELACIONAMENTOS!N:O,2,0))</f>
        <v>0</v>
      </c>
      <c r="V91" s="83">
        <f t="shared" si="20"/>
        <v>0.05</v>
      </c>
      <c r="W91" s="84">
        <f>VLOOKUP(E91,RELACIONAMENTOS!$Q$1:$S$11,3,1)</f>
        <v>0.05</v>
      </c>
    </row>
    <row r="92" spans="1:23" x14ac:dyDescent="0.25">
      <c r="A92" s="45" t="s">
        <v>271</v>
      </c>
      <c r="B92" s="45" t="s">
        <v>2</v>
      </c>
      <c r="C92" s="45">
        <v>102</v>
      </c>
      <c r="D92" s="46">
        <v>1</v>
      </c>
      <c r="E92" s="47">
        <f t="shared" si="11"/>
        <v>102</v>
      </c>
      <c r="F92" s="48">
        <v>40885</v>
      </c>
      <c r="G92" s="79" t="str">
        <f t="shared" si="12"/>
        <v>dezembro</v>
      </c>
      <c r="H92">
        <f t="shared" si="13"/>
        <v>2011</v>
      </c>
      <c r="I92" s="81" t="str">
        <f t="shared" si="14"/>
        <v>dezembro/2011</v>
      </c>
      <c r="J92" s="80" t="str">
        <f t="shared" si="15"/>
        <v>quinta-feira</v>
      </c>
      <c r="K92" t="str">
        <f>VLOOKUP(A92,RELACIONAMENTOS!A:C,2,0)</f>
        <v>Coopercarga</v>
      </c>
      <c r="L92" t="str">
        <f>VLOOKUP(A92,RELACIONAMENTOS!A:C,3,0)</f>
        <v>Fernando</v>
      </c>
      <c r="M92" t="str">
        <f>VLOOKUP(B92,RELACIONAMENTOS!E:F,2,0)</f>
        <v>João</v>
      </c>
      <c r="N92" t="str">
        <f>VLOOKUP(B92,RELACIONAMENTOS!H:I,2,0)</f>
        <v>Tatiane</v>
      </c>
      <c r="O92">
        <f>VLOOKUP(A92,RELACIONAMENTOS!K:L,2,0)</f>
        <v>7891234567</v>
      </c>
      <c r="P92">
        <f>VLOOKUP(B92,RELACIONAMENTOS!N:O,2,0)</f>
        <v>230</v>
      </c>
      <c r="Q92" s="82" t="str">
        <f t="shared" si="16"/>
        <v>Não atingida</v>
      </c>
      <c r="R92" s="80" t="str">
        <f t="shared" si="17"/>
        <v>Não atingida</v>
      </c>
      <c r="S92" t="str">
        <f t="shared" si="18"/>
        <v>Não</v>
      </c>
      <c r="T92" t="str">
        <f t="shared" si="19"/>
        <v>Não</v>
      </c>
      <c r="U92" s="80">
        <f>IF(E92&gt;=500,0,VLOOKUP(B92,RELACIONAMENTOS!N:O,2,0))</f>
        <v>230</v>
      </c>
      <c r="V92" s="83">
        <f t="shared" si="20"/>
        <v>0.01</v>
      </c>
      <c r="W92" s="84">
        <f>VLOOKUP(E92,RELACIONAMENTOS!$Q$1:$S$11,3,1)</f>
        <v>0.01</v>
      </c>
    </row>
    <row r="93" spans="1:23" x14ac:dyDescent="0.25">
      <c r="A93" s="45"/>
      <c r="B93" s="45"/>
      <c r="E93" s="47"/>
      <c r="U93"/>
    </row>
  </sheetData>
  <autoFilter ref="A1:X1"/>
  <sortState ref="A2:X92">
    <sortCondition ref="B92"/>
  </sortState>
  <dataConsolidate/>
  <mergeCells count="2">
    <mergeCell ref="Z2:AA2"/>
    <mergeCell ref="AD2:AF2"/>
  </mergeCells>
  <pageMargins left="0.51181102362204722" right="0.51181102362204722" top="0.78740157480314965" bottom="0.78740157480314965" header="0.31496062992125984" footer="0.31496062992125984"/>
  <pageSetup paperSize="9" scale="98" fitToWidth="0" fitToHeight="0" orientation="portrait" horizontalDpi="300" verticalDpi="300" r:id="rId1"/>
  <rowBreaks count="1" manualBreakCount="1">
    <brk id="46" max="23" man="1"/>
  </rowBreaks>
  <colBreaks count="2" manualBreakCount="2">
    <brk id="6" max="1048575" man="1"/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B7:D10"/>
  <sheetViews>
    <sheetView zoomScaleNormal="140" workbookViewId="0">
      <selection activeCell="F39" sqref="F39"/>
    </sheetView>
  </sheetViews>
  <sheetFormatPr defaultRowHeight="15" x14ac:dyDescent="0.25"/>
  <cols>
    <col min="1" max="1" width="13.42578125" bestFit="1" customWidth="1"/>
    <col min="2" max="2" width="22.42578125" bestFit="1" customWidth="1"/>
    <col min="3" max="3" width="14.5703125" bestFit="1" customWidth="1"/>
    <col min="4" max="4" width="13.85546875" customWidth="1"/>
  </cols>
  <sheetData>
    <row r="7" spans="2:4" x14ac:dyDescent="0.25">
      <c r="B7" s="1"/>
      <c r="C7" s="6" t="s">
        <v>12</v>
      </c>
      <c r="D7" s="6" t="s">
        <v>7</v>
      </c>
    </row>
    <row r="8" spans="2:4" x14ac:dyDescent="0.25">
      <c r="B8" s="1" t="s">
        <v>233</v>
      </c>
      <c r="C8" s="5">
        <f>MAX('Dados de Vendas'!E:E)</f>
        <v>1470</v>
      </c>
      <c r="D8" s="30">
        <f>MAX('Dados de Vendas'!C:C)</f>
        <v>600</v>
      </c>
    </row>
    <row r="9" spans="2:4" x14ac:dyDescent="0.25">
      <c r="B9" s="1" t="s">
        <v>234</v>
      </c>
      <c r="C9" s="5">
        <f>MIN('Dados de Vendas'!E:E)</f>
        <v>30</v>
      </c>
      <c r="D9" s="30">
        <f>MIN('Dados de Vendas'!C:C)</f>
        <v>10</v>
      </c>
    </row>
    <row r="10" spans="2:4" x14ac:dyDescent="0.25">
      <c r="B10" s="1" t="s">
        <v>235</v>
      </c>
      <c r="C10" s="5">
        <f>AVERAGE('Dados de Vendas'!E:E)</f>
        <v>464.26923076923077</v>
      </c>
      <c r="D10" s="30">
        <f>AVERAGE('Dados de Vendas'!C:C)</f>
        <v>170.20879120879121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S14"/>
  <sheetViews>
    <sheetView workbookViewId="0">
      <selection activeCell="K4" sqref="K4"/>
    </sheetView>
  </sheetViews>
  <sheetFormatPr defaultRowHeight="15" x14ac:dyDescent="0.25"/>
  <cols>
    <col min="1" max="1" width="12.28515625" customWidth="1"/>
    <col min="2" max="2" width="17.28515625" customWidth="1"/>
    <col min="3" max="3" width="13.5703125" customWidth="1"/>
    <col min="5" max="5" width="19.7109375" customWidth="1"/>
    <col min="6" max="6" width="13" customWidth="1"/>
    <col min="8" max="8" width="16.7109375" customWidth="1"/>
    <col min="9" max="9" width="16" customWidth="1"/>
    <col min="12" max="12" width="15.42578125" customWidth="1"/>
    <col min="14" max="14" width="14.5703125" customWidth="1"/>
    <col min="15" max="15" width="12.5703125" customWidth="1"/>
    <col min="17" max="18" width="24.7109375" style="17" bestFit="1" customWidth="1"/>
    <col min="19" max="19" width="10.5703125" bestFit="1" customWidth="1"/>
    <col min="21" max="22" width="25" bestFit="1" customWidth="1"/>
    <col min="23" max="23" width="10.7109375" bestFit="1" customWidth="1"/>
  </cols>
  <sheetData>
    <row r="1" spans="1:19" x14ac:dyDescent="0.25">
      <c r="A1" s="6" t="s">
        <v>0</v>
      </c>
      <c r="B1" s="6" t="s">
        <v>9</v>
      </c>
      <c r="C1" s="6" t="s">
        <v>14</v>
      </c>
      <c r="E1" s="4" t="s">
        <v>1</v>
      </c>
      <c r="F1" s="6" t="s">
        <v>18</v>
      </c>
      <c r="H1" s="4" t="s">
        <v>1</v>
      </c>
      <c r="I1" s="6" t="s">
        <v>33</v>
      </c>
      <c r="K1" s="4" t="s">
        <v>0</v>
      </c>
      <c r="L1" s="6" t="s">
        <v>41</v>
      </c>
      <c r="N1" s="4" t="s">
        <v>44</v>
      </c>
      <c r="O1" s="6" t="s">
        <v>45</v>
      </c>
      <c r="Q1" s="54" t="s">
        <v>210</v>
      </c>
      <c r="R1" s="6" t="s">
        <v>211</v>
      </c>
      <c r="S1" s="4" t="s">
        <v>209</v>
      </c>
    </row>
    <row r="2" spans="1:19" x14ac:dyDescent="0.25">
      <c r="A2" s="1" t="s">
        <v>271</v>
      </c>
      <c r="B2" s="1" t="s">
        <v>13</v>
      </c>
      <c r="C2" s="1" t="s">
        <v>15</v>
      </c>
      <c r="E2" s="3" t="s">
        <v>5</v>
      </c>
      <c r="F2" s="1" t="s">
        <v>19</v>
      </c>
      <c r="H2" s="3" t="s">
        <v>5</v>
      </c>
      <c r="I2" s="1" t="s">
        <v>34</v>
      </c>
      <c r="K2" s="3" t="s">
        <v>42</v>
      </c>
      <c r="L2" s="1">
        <v>789123456</v>
      </c>
      <c r="N2" s="3" t="s">
        <v>5</v>
      </c>
      <c r="O2" s="14">
        <v>90</v>
      </c>
      <c r="Q2" s="59">
        <v>0</v>
      </c>
      <c r="R2" s="16">
        <v>200</v>
      </c>
      <c r="S2" s="2">
        <v>0.01</v>
      </c>
    </row>
    <row r="3" spans="1:19" x14ac:dyDescent="0.25">
      <c r="A3" s="1" t="s">
        <v>6</v>
      </c>
      <c r="B3" s="1" t="s">
        <v>10</v>
      </c>
      <c r="C3" s="1" t="s">
        <v>16</v>
      </c>
      <c r="E3" s="3" t="s">
        <v>4</v>
      </c>
      <c r="F3" s="1" t="s">
        <v>20</v>
      </c>
      <c r="H3" s="3" t="s">
        <v>4</v>
      </c>
      <c r="I3" s="1" t="s">
        <v>35</v>
      </c>
      <c r="K3" s="3" t="s">
        <v>271</v>
      </c>
      <c r="L3" s="1">
        <v>7891234567</v>
      </c>
      <c r="N3" s="3" t="s">
        <v>4</v>
      </c>
      <c r="O3" s="14">
        <v>150</v>
      </c>
      <c r="Q3" s="59">
        <f>R2+1</f>
        <v>201</v>
      </c>
      <c r="R3" s="16">
        <f>Q3+199</f>
        <v>400</v>
      </c>
      <c r="S3" s="2">
        <v>0.02</v>
      </c>
    </row>
    <row r="4" spans="1:19" x14ac:dyDescent="0.25">
      <c r="A4" s="1" t="s">
        <v>27</v>
      </c>
      <c r="B4" s="1" t="s">
        <v>11</v>
      </c>
      <c r="C4" s="1" t="s">
        <v>17</v>
      </c>
      <c r="E4" s="3" t="s">
        <v>2</v>
      </c>
      <c r="F4" s="1" t="s">
        <v>19</v>
      </c>
      <c r="H4" s="3" t="s">
        <v>2</v>
      </c>
      <c r="I4" s="3" t="s">
        <v>38</v>
      </c>
      <c r="K4" s="3" t="s">
        <v>43</v>
      </c>
      <c r="L4" s="1">
        <v>78912345678</v>
      </c>
      <c r="N4" s="3" t="s">
        <v>2</v>
      </c>
      <c r="O4" s="15">
        <v>230</v>
      </c>
      <c r="Q4" s="59">
        <f t="shared" ref="Q4:Q11" si="0">R3+1</f>
        <v>401</v>
      </c>
      <c r="R4" s="16">
        <f t="shared" ref="R4:R10" si="1">Q4+199</f>
        <v>600</v>
      </c>
      <c r="S4" s="2">
        <v>0.03</v>
      </c>
    </row>
    <row r="5" spans="1:19" x14ac:dyDescent="0.25">
      <c r="A5" s="62"/>
      <c r="B5" s="62"/>
      <c r="E5" s="3" t="s">
        <v>3</v>
      </c>
      <c r="F5" s="1" t="s">
        <v>20</v>
      </c>
      <c r="H5" s="3" t="s">
        <v>3</v>
      </c>
      <c r="I5" s="3" t="s">
        <v>39</v>
      </c>
      <c r="K5" s="3"/>
      <c r="L5" s="1"/>
      <c r="N5" s="3" t="s">
        <v>3</v>
      </c>
      <c r="O5" s="15">
        <v>100</v>
      </c>
      <c r="Q5" s="59">
        <f t="shared" si="0"/>
        <v>601</v>
      </c>
      <c r="R5" s="16">
        <f t="shared" si="1"/>
        <v>800</v>
      </c>
      <c r="S5" s="2">
        <v>0.04</v>
      </c>
    </row>
    <row r="6" spans="1:19" x14ac:dyDescent="0.25">
      <c r="Q6" s="59">
        <f t="shared" si="0"/>
        <v>801</v>
      </c>
      <c r="R6" s="16">
        <f t="shared" si="1"/>
        <v>1000</v>
      </c>
      <c r="S6" s="2">
        <v>0.05</v>
      </c>
    </row>
    <row r="7" spans="1:19" x14ac:dyDescent="0.25">
      <c r="Q7" s="59">
        <f t="shared" si="0"/>
        <v>1001</v>
      </c>
      <c r="R7" s="16">
        <f t="shared" si="1"/>
        <v>1200</v>
      </c>
      <c r="S7" s="2">
        <v>0.06</v>
      </c>
    </row>
    <row r="8" spans="1:19" x14ac:dyDescent="0.25">
      <c r="Q8" s="59">
        <f t="shared" si="0"/>
        <v>1201</v>
      </c>
      <c r="R8" s="16">
        <f t="shared" si="1"/>
        <v>1400</v>
      </c>
      <c r="S8" s="2">
        <v>7.0000000000000007E-2</v>
      </c>
    </row>
    <row r="9" spans="1:19" x14ac:dyDescent="0.25">
      <c r="N9" s="13"/>
      <c r="Q9" s="59">
        <f t="shared" si="0"/>
        <v>1401</v>
      </c>
      <c r="R9" s="16">
        <f t="shared" si="1"/>
        <v>1600</v>
      </c>
      <c r="S9" s="2">
        <v>0.08</v>
      </c>
    </row>
    <row r="10" spans="1:19" x14ac:dyDescent="0.25">
      <c r="Q10" s="59">
        <f t="shared" si="0"/>
        <v>1601</v>
      </c>
      <c r="R10" s="16">
        <f t="shared" si="1"/>
        <v>1800</v>
      </c>
      <c r="S10" s="2">
        <v>0.09</v>
      </c>
    </row>
    <row r="11" spans="1:19" x14ac:dyDescent="0.25">
      <c r="Q11" s="59">
        <f t="shared" si="0"/>
        <v>1801</v>
      </c>
      <c r="R11" s="16" t="s">
        <v>212</v>
      </c>
      <c r="S11" s="2">
        <v>0.1</v>
      </c>
    </row>
    <row r="13" spans="1:19" x14ac:dyDescent="0.25">
      <c r="N13" s="13"/>
      <c r="Q13" s="28" t="s">
        <v>213</v>
      </c>
      <c r="R13" s="28" t="s">
        <v>209</v>
      </c>
    </row>
    <row r="14" spans="1:19" x14ac:dyDescent="0.25">
      <c r="Q14" s="27">
        <v>801</v>
      </c>
      <c r="R14" s="29">
        <f>VLOOKUP(Q14,Q2:S11,3,TRUE)</f>
        <v>0.05</v>
      </c>
    </row>
  </sheetData>
  <pageMargins left="0.511811024" right="0.511811024" top="0.78740157499999996" bottom="0.78740157499999996" header="0.31496062000000002" footer="0.31496062000000002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1:C8"/>
  <sheetViews>
    <sheetView workbookViewId="0">
      <selection activeCell="F10" sqref="F10"/>
    </sheetView>
  </sheetViews>
  <sheetFormatPr defaultRowHeight="15" x14ac:dyDescent="0.25"/>
  <cols>
    <col min="3" max="3" width="42.28515625" bestFit="1" customWidth="1"/>
  </cols>
  <sheetData>
    <row r="1" spans="1:3" x14ac:dyDescent="0.25">
      <c r="A1" s="57" t="s">
        <v>242</v>
      </c>
      <c r="B1" s="57" t="s">
        <v>241</v>
      </c>
      <c r="C1" s="57" t="s">
        <v>243</v>
      </c>
    </row>
    <row r="2" spans="1:3" x14ac:dyDescent="0.25">
      <c r="A2" s="1" t="s">
        <v>244</v>
      </c>
      <c r="B2" s="1">
        <v>10</v>
      </c>
      <c r="C2" s="85" t="str">
        <f>IF(B2&gt;=18,"Maior de Idade","Menor de Idade")</f>
        <v>Menor de Idade</v>
      </c>
    </row>
    <row r="3" spans="1:3" x14ac:dyDescent="0.25">
      <c r="A3" s="1" t="s">
        <v>245</v>
      </c>
      <c r="B3" s="1">
        <v>15</v>
      </c>
      <c r="C3" s="85" t="str">
        <f t="shared" ref="C3:C8" si="0">IF(B3&gt;=18,"Maior de Idade","Menor de Idade")</f>
        <v>Menor de Idade</v>
      </c>
    </row>
    <row r="4" spans="1:3" x14ac:dyDescent="0.25">
      <c r="A4" s="1" t="s">
        <v>246</v>
      </c>
      <c r="B4" s="1">
        <v>17</v>
      </c>
      <c r="C4" s="85" t="str">
        <f t="shared" si="0"/>
        <v>Menor de Idade</v>
      </c>
    </row>
    <row r="5" spans="1:3" x14ac:dyDescent="0.25">
      <c r="A5" s="1" t="s">
        <v>247</v>
      </c>
      <c r="B5" s="1">
        <v>18</v>
      </c>
      <c r="C5" s="85" t="str">
        <f t="shared" si="0"/>
        <v>Maior de Idade</v>
      </c>
    </row>
    <row r="6" spans="1:3" x14ac:dyDescent="0.25">
      <c r="A6" s="1" t="s">
        <v>248</v>
      </c>
      <c r="B6" s="1">
        <v>19</v>
      </c>
      <c r="C6" s="85" t="str">
        <f t="shared" si="0"/>
        <v>Maior de Idade</v>
      </c>
    </row>
    <row r="7" spans="1:3" x14ac:dyDescent="0.25">
      <c r="A7" s="1" t="s">
        <v>249</v>
      </c>
      <c r="B7" s="1">
        <v>18</v>
      </c>
      <c r="C7" s="85" t="str">
        <f t="shared" si="0"/>
        <v>Maior de Idade</v>
      </c>
    </row>
    <row r="8" spans="1:3" x14ac:dyDescent="0.25">
      <c r="A8" s="1" t="s">
        <v>250</v>
      </c>
      <c r="B8" s="1">
        <v>16</v>
      </c>
      <c r="C8" s="85" t="str">
        <f t="shared" si="0"/>
        <v>Menor de Idade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O144"/>
  <sheetViews>
    <sheetView workbookViewId="0">
      <selection activeCell="C5" sqref="C5"/>
    </sheetView>
  </sheetViews>
  <sheetFormatPr defaultRowHeight="15" x14ac:dyDescent="0.25"/>
  <cols>
    <col min="1" max="1" width="18.7109375" customWidth="1"/>
    <col min="2" max="2" width="19.140625" bestFit="1" customWidth="1"/>
    <col min="3" max="3" width="12.140625" customWidth="1"/>
    <col min="6" max="6" width="12.85546875" customWidth="1"/>
    <col min="7" max="7" width="18.5703125" bestFit="1" customWidth="1"/>
    <col min="8" max="8" width="19.140625" bestFit="1" customWidth="1"/>
    <col min="9" max="9" width="10" style="17" customWidth="1"/>
  </cols>
  <sheetData>
    <row r="1" spans="1:15" x14ac:dyDescent="0.25">
      <c r="A1" s="25" t="s">
        <v>48</v>
      </c>
      <c r="B1" s="25" t="s">
        <v>49</v>
      </c>
      <c r="C1" s="25" t="s">
        <v>50</v>
      </c>
      <c r="G1" s="12" t="s">
        <v>51</v>
      </c>
      <c r="H1" s="12" t="s">
        <v>49</v>
      </c>
      <c r="I1" s="24" t="s">
        <v>50</v>
      </c>
      <c r="J1" s="23"/>
      <c r="K1" s="23"/>
      <c r="L1" s="23"/>
      <c r="M1" s="23"/>
      <c r="N1" s="23"/>
      <c r="O1" s="23"/>
    </row>
    <row r="2" spans="1:15" x14ac:dyDescent="0.25">
      <c r="A2" s="1">
        <v>78900000</v>
      </c>
      <c r="B2" s="26" t="str">
        <f>VLOOKUP(A2,G:I,2,0)</f>
        <v>Flanela</v>
      </c>
      <c r="C2" s="78">
        <f>VLOOKUP(B2,H:J,2,0)</f>
        <v>1.5</v>
      </c>
      <c r="G2" s="20">
        <v>12341234</v>
      </c>
      <c r="H2" s="20" t="s">
        <v>53</v>
      </c>
      <c r="I2" s="21">
        <v>1</v>
      </c>
      <c r="J2" s="23"/>
      <c r="K2" s="23"/>
      <c r="L2" s="23"/>
      <c r="M2" s="23"/>
      <c r="N2" s="23"/>
      <c r="O2" s="23"/>
    </row>
    <row r="3" spans="1:15" x14ac:dyDescent="0.25">
      <c r="A3" s="1">
        <v>12343051</v>
      </c>
      <c r="B3" s="26" t="str">
        <f t="shared" ref="B3:B5" si="0">VLOOKUP(A3,G:I,2,0)</f>
        <v>Amaciante</v>
      </c>
      <c r="C3" s="78">
        <f t="shared" ref="C3:C5" si="1">VLOOKUP(B3,H:J,2,0)</f>
        <v>4</v>
      </c>
      <c r="G3" s="20">
        <v>12341452</v>
      </c>
      <c r="H3" s="20" t="s">
        <v>56</v>
      </c>
      <c r="I3" s="21">
        <v>4</v>
      </c>
      <c r="J3" s="23"/>
      <c r="K3" s="23"/>
      <c r="L3" s="23"/>
      <c r="M3" s="23"/>
      <c r="N3" s="23"/>
      <c r="O3" s="23"/>
    </row>
    <row r="4" spans="1:15" x14ac:dyDescent="0.25">
      <c r="A4" s="1">
        <v>12341634</v>
      </c>
      <c r="B4" s="26" t="str">
        <f t="shared" si="0"/>
        <v>Esponja</v>
      </c>
      <c r="C4" s="78">
        <f t="shared" si="1"/>
        <v>0.5</v>
      </c>
      <c r="G4" s="20">
        <v>12341525</v>
      </c>
      <c r="H4" s="20" t="s">
        <v>58</v>
      </c>
      <c r="I4" s="21">
        <v>3</v>
      </c>
      <c r="J4" s="23"/>
      <c r="K4" s="23"/>
      <c r="L4" s="23"/>
      <c r="M4" s="23"/>
      <c r="N4" s="23"/>
      <c r="O4" s="23"/>
    </row>
    <row r="5" spans="1:15" x14ac:dyDescent="0.25">
      <c r="A5" s="1">
        <v>12341852</v>
      </c>
      <c r="B5" s="26" t="str">
        <f t="shared" si="0"/>
        <v>Guardanapo</v>
      </c>
      <c r="C5" s="26">
        <f t="shared" si="1"/>
        <v>1.65</v>
      </c>
      <c r="G5" s="20">
        <v>12341634</v>
      </c>
      <c r="H5" s="20" t="s">
        <v>60</v>
      </c>
      <c r="I5" s="21">
        <v>0.5</v>
      </c>
      <c r="J5" s="23"/>
      <c r="K5" s="23"/>
      <c r="L5" s="23"/>
      <c r="M5" s="23"/>
      <c r="N5" s="23"/>
      <c r="O5" s="23"/>
    </row>
    <row r="6" spans="1:15" x14ac:dyDescent="0.25">
      <c r="A6" s="91" t="s">
        <v>52</v>
      </c>
      <c r="B6" s="92"/>
      <c r="C6" s="22">
        <f>SUM(C2:C5)</f>
        <v>7.65</v>
      </c>
      <c r="G6" s="18">
        <v>78900000</v>
      </c>
      <c r="H6" s="18" t="s">
        <v>62</v>
      </c>
      <c r="I6" s="19">
        <v>1.5</v>
      </c>
      <c r="J6" s="23"/>
      <c r="K6" s="23"/>
      <c r="L6" s="23"/>
      <c r="M6" s="23"/>
      <c r="N6" s="23"/>
      <c r="O6" s="23"/>
    </row>
    <row r="7" spans="1:15" x14ac:dyDescent="0.25">
      <c r="G7" s="20">
        <v>12341852</v>
      </c>
      <c r="H7" s="20" t="s">
        <v>64</v>
      </c>
      <c r="I7" s="21">
        <v>1.65</v>
      </c>
      <c r="J7" s="23"/>
      <c r="K7" s="23"/>
      <c r="L7" s="23"/>
      <c r="M7" s="23"/>
      <c r="N7" s="23"/>
      <c r="O7" s="23"/>
    </row>
    <row r="8" spans="1:15" x14ac:dyDescent="0.25">
      <c r="G8" s="20">
        <v>12341961</v>
      </c>
      <c r="H8" s="20" t="s">
        <v>66</v>
      </c>
      <c r="I8" s="21">
        <v>5</v>
      </c>
      <c r="J8" s="23"/>
      <c r="K8" s="23"/>
      <c r="L8" s="23"/>
      <c r="M8" s="23"/>
      <c r="N8" s="23"/>
      <c r="O8" s="23"/>
    </row>
    <row r="9" spans="1:15" x14ac:dyDescent="0.25">
      <c r="G9" s="20">
        <v>12342070</v>
      </c>
      <c r="H9" s="20" t="s">
        <v>68</v>
      </c>
      <c r="I9" s="21">
        <v>4</v>
      </c>
      <c r="J9" s="23"/>
      <c r="K9" s="23"/>
      <c r="L9" s="23"/>
      <c r="M9" s="23"/>
      <c r="N9" s="23"/>
      <c r="O9" s="23"/>
    </row>
    <row r="10" spans="1:15" x14ac:dyDescent="0.25">
      <c r="G10" s="20">
        <v>12342179</v>
      </c>
      <c r="H10" s="20" t="s">
        <v>70</v>
      </c>
      <c r="I10" s="21">
        <v>3.85</v>
      </c>
      <c r="J10" s="23"/>
      <c r="K10" s="23"/>
      <c r="L10" s="23"/>
      <c r="M10" s="23"/>
      <c r="N10" s="23"/>
      <c r="O10" s="23"/>
    </row>
    <row r="11" spans="1:15" x14ac:dyDescent="0.25">
      <c r="G11" s="20">
        <v>12342288</v>
      </c>
      <c r="H11" s="20" t="s">
        <v>72</v>
      </c>
      <c r="I11" s="21">
        <v>30</v>
      </c>
      <c r="J11" s="23"/>
      <c r="K11" s="23"/>
      <c r="L11" s="23"/>
      <c r="M11" s="23"/>
      <c r="N11" s="23"/>
      <c r="O11" s="23"/>
    </row>
    <row r="12" spans="1:15" ht="18.75" x14ac:dyDescent="0.3">
      <c r="D12" s="7" t="s">
        <v>255</v>
      </c>
      <c r="G12" s="20">
        <v>12342397</v>
      </c>
      <c r="H12" s="20" t="s">
        <v>74</v>
      </c>
      <c r="I12" s="21">
        <v>1.5</v>
      </c>
      <c r="J12" s="23"/>
      <c r="K12" s="23"/>
      <c r="L12" s="23"/>
      <c r="M12" s="23"/>
      <c r="N12" s="23"/>
      <c r="O12" s="23"/>
    </row>
    <row r="13" spans="1:15" ht="18.75" x14ac:dyDescent="0.3">
      <c r="D13" s="61" t="s">
        <v>256</v>
      </c>
      <c r="G13" s="20">
        <v>12342506</v>
      </c>
      <c r="H13" s="20" t="s">
        <v>76</v>
      </c>
      <c r="I13" s="21">
        <v>1.5</v>
      </c>
      <c r="J13" s="23"/>
      <c r="K13" s="23"/>
      <c r="L13" s="23"/>
      <c r="M13" s="23"/>
      <c r="N13" s="23"/>
      <c r="O13" s="23"/>
    </row>
    <row r="14" spans="1:15" x14ac:dyDescent="0.25">
      <c r="G14" s="20">
        <v>12342615</v>
      </c>
      <c r="H14" s="20" t="s">
        <v>78</v>
      </c>
      <c r="I14" s="21">
        <v>7</v>
      </c>
      <c r="J14" s="23"/>
      <c r="K14" s="23"/>
      <c r="L14" s="23"/>
      <c r="M14" s="23"/>
      <c r="N14" s="23"/>
      <c r="O14" s="23"/>
    </row>
    <row r="15" spans="1:15" x14ac:dyDescent="0.25">
      <c r="G15" s="20">
        <v>12342724</v>
      </c>
      <c r="H15" s="20" t="s">
        <v>80</v>
      </c>
      <c r="I15" s="21">
        <v>8</v>
      </c>
      <c r="J15" s="23"/>
      <c r="K15" s="23"/>
      <c r="L15" s="23"/>
      <c r="M15" s="23"/>
      <c r="N15" s="23"/>
      <c r="O15" s="23"/>
    </row>
    <row r="16" spans="1:15" x14ac:dyDescent="0.25">
      <c r="G16" s="20">
        <v>12342833</v>
      </c>
      <c r="H16" s="20" t="s">
        <v>54</v>
      </c>
      <c r="I16" s="21">
        <v>5</v>
      </c>
      <c r="J16" s="23"/>
      <c r="K16" s="23"/>
      <c r="L16" s="23"/>
      <c r="M16" s="23"/>
      <c r="N16" s="23"/>
      <c r="O16" s="23"/>
    </row>
    <row r="17" spans="7:15" x14ac:dyDescent="0.25">
      <c r="G17" s="20">
        <v>12342942</v>
      </c>
      <c r="H17" s="20" t="s">
        <v>55</v>
      </c>
      <c r="I17" s="21">
        <v>1.2</v>
      </c>
      <c r="J17" s="23"/>
      <c r="K17" s="23"/>
      <c r="L17" s="23"/>
      <c r="M17" s="23"/>
      <c r="N17" s="23"/>
      <c r="O17" s="23"/>
    </row>
    <row r="18" spans="7:15" x14ac:dyDescent="0.25">
      <c r="G18" s="20">
        <v>12343051</v>
      </c>
      <c r="H18" s="20" t="s">
        <v>57</v>
      </c>
      <c r="I18" s="21">
        <v>4</v>
      </c>
      <c r="J18" s="23"/>
      <c r="K18" s="23"/>
      <c r="L18" s="23"/>
      <c r="M18" s="23"/>
      <c r="N18" s="23"/>
      <c r="O18" s="23"/>
    </row>
    <row r="19" spans="7:15" x14ac:dyDescent="0.25">
      <c r="G19" s="20">
        <v>12343160</v>
      </c>
      <c r="H19" s="20" t="s">
        <v>59</v>
      </c>
      <c r="I19" s="21">
        <v>1.4</v>
      </c>
      <c r="J19" s="23"/>
      <c r="K19" s="23"/>
      <c r="L19" s="23"/>
      <c r="M19" s="23"/>
      <c r="N19" s="23"/>
      <c r="O19" s="23"/>
    </row>
    <row r="20" spans="7:15" x14ac:dyDescent="0.25">
      <c r="G20" s="20">
        <v>12343269</v>
      </c>
      <c r="H20" s="20" t="s">
        <v>61</v>
      </c>
      <c r="I20" s="21">
        <v>2.5</v>
      </c>
      <c r="J20" s="23"/>
      <c r="K20" s="23"/>
      <c r="L20" s="23"/>
      <c r="M20" s="23"/>
      <c r="N20" s="23"/>
      <c r="O20" s="23"/>
    </row>
    <row r="21" spans="7:15" x14ac:dyDescent="0.25">
      <c r="G21" s="20">
        <v>12343378</v>
      </c>
      <c r="H21" s="20" t="s">
        <v>63</v>
      </c>
      <c r="I21" s="21">
        <v>2.1</v>
      </c>
      <c r="J21" s="23"/>
      <c r="K21" s="23"/>
      <c r="L21" s="23"/>
      <c r="M21" s="23"/>
      <c r="N21" s="23"/>
      <c r="O21" s="23"/>
    </row>
    <row r="22" spans="7:15" x14ac:dyDescent="0.25">
      <c r="G22" s="20">
        <v>12343487</v>
      </c>
      <c r="H22" s="20" t="s">
        <v>65</v>
      </c>
      <c r="I22" s="21">
        <v>0.99</v>
      </c>
      <c r="J22" s="23"/>
      <c r="K22" s="23"/>
      <c r="L22" s="23"/>
      <c r="M22" s="23"/>
      <c r="N22" s="23"/>
      <c r="O22" s="23"/>
    </row>
    <row r="23" spans="7:15" x14ac:dyDescent="0.25">
      <c r="G23" s="20">
        <v>12343596</v>
      </c>
      <c r="H23" s="20" t="s">
        <v>67</v>
      </c>
      <c r="I23" s="21">
        <v>1.5</v>
      </c>
      <c r="J23" s="23"/>
      <c r="K23" s="23"/>
      <c r="L23" s="23"/>
      <c r="M23" s="23"/>
      <c r="N23" s="23"/>
      <c r="O23" s="23"/>
    </row>
    <row r="24" spans="7:15" x14ac:dyDescent="0.25">
      <c r="G24" s="20">
        <v>12343705</v>
      </c>
      <c r="H24" s="20" t="s">
        <v>69</v>
      </c>
      <c r="I24" s="21">
        <v>4.5</v>
      </c>
      <c r="J24" s="23"/>
      <c r="K24" s="23"/>
      <c r="L24" s="23"/>
      <c r="M24" s="23"/>
      <c r="N24" s="23"/>
      <c r="O24" s="23"/>
    </row>
    <row r="25" spans="7:15" x14ac:dyDescent="0.25">
      <c r="G25" s="20">
        <v>12343814</v>
      </c>
      <c r="H25" s="20" t="s">
        <v>71</v>
      </c>
      <c r="I25" s="21">
        <v>4.5</v>
      </c>
      <c r="J25" s="23"/>
      <c r="K25" s="23"/>
      <c r="L25" s="23"/>
      <c r="M25" s="23"/>
      <c r="N25" s="23"/>
      <c r="O25" s="23"/>
    </row>
    <row r="26" spans="7:15" x14ac:dyDescent="0.25">
      <c r="G26" s="20">
        <v>12343923</v>
      </c>
      <c r="H26" s="20" t="s">
        <v>73</v>
      </c>
      <c r="I26" s="21">
        <v>7</v>
      </c>
      <c r="J26" s="23"/>
      <c r="K26" s="23"/>
      <c r="L26" s="23"/>
      <c r="M26" s="23"/>
      <c r="N26" s="23"/>
      <c r="O26" s="23"/>
    </row>
    <row r="27" spans="7:15" x14ac:dyDescent="0.25">
      <c r="G27" s="20">
        <v>12344032</v>
      </c>
      <c r="H27" s="20" t="s">
        <v>75</v>
      </c>
      <c r="I27" s="21">
        <v>1</v>
      </c>
      <c r="J27" s="23"/>
      <c r="K27" s="23"/>
      <c r="L27" s="23"/>
      <c r="M27" s="23"/>
      <c r="N27" s="23"/>
      <c r="O27" s="23"/>
    </row>
    <row r="28" spans="7:15" x14ac:dyDescent="0.25">
      <c r="G28" s="20">
        <v>12344141</v>
      </c>
      <c r="H28" s="20" t="s">
        <v>77</v>
      </c>
      <c r="I28" s="21">
        <v>8</v>
      </c>
      <c r="J28" s="23"/>
      <c r="K28" s="23"/>
      <c r="L28" s="23"/>
      <c r="M28" s="23"/>
      <c r="N28" s="23"/>
      <c r="O28" s="23"/>
    </row>
    <row r="29" spans="7:15" x14ac:dyDescent="0.25">
      <c r="G29" s="20">
        <v>12344250</v>
      </c>
      <c r="H29" s="20" t="s">
        <v>79</v>
      </c>
      <c r="I29" s="21">
        <v>5</v>
      </c>
      <c r="J29" s="23"/>
      <c r="K29" s="23"/>
      <c r="L29" s="23"/>
      <c r="M29" s="23"/>
      <c r="N29" s="23"/>
      <c r="O29" s="23"/>
    </row>
    <row r="30" spans="7:15" x14ac:dyDescent="0.25">
      <c r="G30" s="20">
        <v>12344359</v>
      </c>
      <c r="H30" s="20" t="s">
        <v>81</v>
      </c>
      <c r="I30" s="21">
        <v>2.5</v>
      </c>
      <c r="J30" s="23"/>
      <c r="K30" s="23"/>
      <c r="L30" s="23"/>
      <c r="M30" s="23"/>
      <c r="N30" s="23"/>
      <c r="O30" s="23"/>
    </row>
    <row r="31" spans="7:15" x14ac:dyDescent="0.25">
      <c r="G31" s="20">
        <v>12344468</v>
      </c>
      <c r="H31" s="20" t="s">
        <v>82</v>
      </c>
      <c r="I31" s="21">
        <v>1.5</v>
      </c>
      <c r="J31" s="23"/>
      <c r="K31" s="23"/>
      <c r="L31" s="23"/>
      <c r="M31" s="23"/>
      <c r="N31" s="23"/>
      <c r="O31" s="23"/>
    </row>
    <row r="32" spans="7:15" x14ac:dyDescent="0.25">
      <c r="G32" s="20">
        <v>12344577</v>
      </c>
      <c r="H32" s="20" t="s">
        <v>84</v>
      </c>
      <c r="I32" s="21">
        <v>7</v>
      </c>
      <c r="J32" s="23"/>
      <c r="K32" s="23"/>
      <c r="L32" s="23"/>
      <c r="M32" s="23"/>
      <c r="N32" s="23"/>
      <c r="O32" s="23"/>
    </row>
    <row r="33" spans="7:15" x14ac:dyDescent="0.25">
      <c r="G33" s="20">
        <v>12344686</v>
      </c>
      <c r="H33" s="20" t="s">
        <v>86</v>
      </c>
      <c r="I33" s="21">
        <v>10</v>
      </c>
      <c r="J33" s="23"/>
      <c r="K33" s="23"/>
      <c r="L33" s="23"/>
      <c r="M33" s="23"/>
      <c r="N33" s="23"/>
      <c r="O33" s="23"/>
    </row>
    <row r="34" spans="7:15" x14ac:dyDescent="0.25">
      <c r="G34" s="20">
        <v>12344795</v>
      </c>
      <c r="H34" s="20" t="s">
        <v>88</v>
      </c>
      <c r="I34" s="21">
        <v>2</v>
      </c>
      <c r="J34" s="23"/>
      <c r="K34" s="23"/>
      <c r="L34" s="23"/>
      <c r="M34" s="23"/>
      <c r="N34" s="23"/>
      <c r="O34" s="23"/>
    </row>
    <row r="35" spans="7:15" x14ac:dyDescent="0.25">
      <c r="G35" s="20">
        <v>12344904</v>
      </c>
      <c r="H35" s="20" t="s">
        <v>90</v>
      </c>
      <c r="I35" s="21">
        <v>2.5</v>
      </c>
      <c r="J35" s="23"/>
      <c r="K35" s="23"/>
      <c r="L35" s="23"/>
      <c r="M35" s="23"/>
      <c r="N35" s="23"/>
      <c r="O35" s="23"/>
    </row>
    <row r="36" spans="7:15" x14ac:dyDescent="0.25">
      <c r="G36" s="20">
        <v>12345013</v>
      </c>
      <c r="H36" s="20" t="s">
        <v>92</v>
      </c>
      <c r="I36" s="21">
        <v>7</v>
      </c>
      <c r="J36" s="23"/>
      <c r="K36" s="23"/>
      <c r="L36" s="23"/>
      <c r="M36" s="23"/>
      <c r="N36" s="23"/>
      <c r="O36" s="23"/>
    </row>
    <row r="37" spans="7:15" x14ac:dyDescent="0.25">
      <c r="G37" s="20">
        <v>12345122</v>
      </c>
      <c r="H37" s="20" t="s">
        <v>94</v>
      </c>
      <c r="I37" s="21">
        <v>7</v>
      </c>
      <c r="J37" s="23"/>
      <c r="K37" s="23"/>
      <c r="L37" s="23"/>
      <c r="M37" s="23"/>
      <c r="N37" s="23"/>
      <c r="O37" s="23"/>
    </row>
    <row r="38" spans="7:15" x14ac:dyDescent="0.25">
      <c r="G38" s="20">
        <v>12345231</v>
      </c>
      <c r="H38" s="20" t="s">
        <v>83</v>
      </c>
      <c r="I38" s="21">
        <v>5</v>
      </c>
      <c r="J38" s="23"/>
      <c r="K38" s="23"/>
      <c r="L38" s="23"/>
      <c r="M38" s="23"/>
      <c r="N38" s="23"/>
      <c r="O38" s="23"/>
    </row>
    <row r="39" spans="7:15" x14ac:dyDescent="0.25">
      <c r="G39" s="20">
        <v>12345340</v>
      </c>
      <c r="H39" s="20" t="s">
        <v>85</v>
      </c>
      <c r="I39" s="21">
        <v>8.8000000000000007</v>
      </c>
      <c r="J39" s="23"/>
      <c r="K39" s="23"/>
      <c r="L39" s="23"/>
      <c r="M39" s="23"/>
      <c r="N39" s="23"/>
      <c r="O39" s="23"/>
    </row>
    <row r="40" spans="7:15" x14ac:dyDescent="0.25">
      <c r="G40" s="20">
        <v>12345449</v>
      </c>
      <c r="H40" s="20" t="s">
        <v>87</v>
      </c>
      <c r="I40" s="21">
        <v>0.5</v>
      </c>
      <c r="J40" s="23"/>
      <c r="K40" s="23"/>
      <c r="L40" s="23"/>
      <c r="M40" s="23"/>
      <c r="N40" s="23"/>
      <c r="O40" s="23"/>
    </row>
    <row r="41" spans="7:15" x14ac:dyDescent="0.25">
      <c r="G41" s="20">
        <v>12345558</v>
      </c>
      <c r="H41" s="20" t="s">
        <v>89</v>
      </c>
      <c r="I41" s="21">
        <v>4</v>
      </c>
      <c r="J41" s="23"/>
      <c r="K41" s="23"/>
      <c r="L41" s="23"/>
      <c r="M41" s="23"/>
      <c r="N41" s="23"/>
      <c r="O41" s="23"/>
    </row>
    <row r="42" spans="7:15" x14ac:dyDescent="0.25">
      <c r="G42" s="20">
        <v>12345667</v>
      </c>
      <c r="H42" s="20" t="s">
        <v>91</v>
      </c>
      <c r="I42" s="21">
        <v>2</v>
      </c>
      <c r="J42" s="23"/>
      <c r="K42" s="23"/>
      <c r="L42" s="23"/>
      <c r="M42" s="23"/>
      <c r="N42" s="23"/>
      <c r="O42" s="23"/>
    </row>
    <row r="43" spans="7:15" x14ac:dyDescent="0.25">
      <c r="G43" s="20">
        <v>12345776</v>
      </c>
      <c r="H43" s="20" t="s">
        <v>93</v>
      </c>
      <c r="I43" s="21">
        <v>5</v>
      </c>
      <c r="J43" s="23"/>
      <c r="K43" s="23"/>
      <c r="L43" s="23"/>
      <c r="M43" s="23"/>
      <c r="N43" s="23"/>
      <c r="O43" s="23"/>
    </row>
    <row r="44" spans="7:15" x14ac:dyDescent="0.25">
      <c r="G44" s="20">
        <v>12345885</v>
      </c>
      <c r="H44" s="20" t="s">
        <v>95</v>
      </c>
      <c r="I44" s="21">
        <v>2</v>
      </c>
      <c r="J44" s="23"/>
      <c r="K44" s="23"/>
      <c r="L44" s="23"/>
      <c r="M44" s="23"/>
      <c r="N44" s="23"/>
      <c r="O44" s="23"/>
    </row>
    <row r="45" spans="7:15" x14ac:dyDescent="0.25">
      <c r="G45" s="20">
        <v>12345994</v>
      </c>
      <c r="H45" s="20" t="s">
        <v>96</v>
      </c>
      <c r="I45" s="21">
        <v>2</v>
      </c>
      <c r="J45" s="23"/>
      <c r="K45" s="23"/>
      <c r="L45" s="23"/>
      <c r="M45" s="23"/>
      <c r="N45" s="23"/>
      <c r="O45" s="23"/>
    </row>
    <row r="46" spans="7:15" x14ac:dyDescent="0.25">
      <c r="G46" s="20">
        <v>12346103</v>
      </c>
      <c r="H46" s="20" t="s">
        <v>98</v>
      </c>
      <c r="I46" s="21">
        <v>1</v>
      </c>
      <c r="J46" s="23"/>
      <c r="K46" s="23"/>
      <c r="L46" s="23"/>
      <c r="M46" s="23"/>
      <c r="N46" s="23"/>
      <c r="O46" s="23"/>
    </row>
    <row r="47" spans="7:15" x14ac:dyDescent="0.25">
      <c r="G47" s="20">
        <v>12346212</v>
      </c>
      <c r="H47" s="20" t="s">
        <v>100</v>
      </c>
      <c r="I47" s="21">
        <v>2</v>
      </c>
      <c r="J47" s="23"/>
      <c r="K47" s="23"/>
      <c r="L47" s="23"/>
      <c r="M47" s="23"/>
      <c r="N47" s="23"/>
      <c r="O47" s="23"/>
    </row>
    <row r="48" spans="7:15" x14ac:dyDescent="0.25">
      <c r="G48" s="20">
        <v>12346321</v>
      </c>
      <c r="H48" s="20" t="s">
        <v>102</v>
      </c>
      <c r="I48" s="21">
        <v>5</v>
      </c>
      <c r="J48" s="23"/>
      <c r="K48" s="23"/>
      <c r="L48" s="23"/>
      <c r="M48" s="23"/>
      <c r="N48" s="23"/>
      <c r="O48" s="23"/>
    </row>
    <row r="49" spans="7:15" x14ac:dyDescent="0.25">
      <c r="G49" s="20">
        <v>12346430</v>
      </c>
      <c r="H49" s="20" t="s">
        <v>104</v>
      </c>
      <c r="I49" s="21">
        <v>8</v>
      </c>
      <c r="J49" s="23"/>
      <c r="K49" s="23"/>
      <c r="L49" s="23"/>
      <c r="M49" s="23"/>
      <c r="N49" s="23"/>
      <c r="O49" s="23"/>
    </row>
    <row r="50" spans="7:15" x14ac:dyDescent="0.25">
      <c r="G50" s="20">
        <v>12346539</v>
      </c>
      <c r="H50" s="20" t="s">
        <v>106</v>
      </c>
      <c r="I50" s="21">
        <v>8</v>
      </c>
      <c r="J50" s="23"/>
      <c r="K50" s="23"/>
      <c r="L50" s="23"/>
      <c r="M50" s="23"/>
      <c r="N50" s="23"/>
      <c r="O50" s="23"/>
    </row>
    <row r="51" spans="7:15" x14ac:dyDescent="0.25">
      <c r="G51" s="20">
        <v>12346648</v>
      </c>
      <c r="H51" s="20" t="s">
        <v>108</v>
      </c>
      <c r="I51" s="21">
        <v>5</v>
      </c>
      <c r="J51" s="23"/>
      <c r="K51" s="23"/>
      <c r="L51" s="23"/>
      <c r="M51" s="23"/>
      <c r="N51" s="23"/>
      <c r="O51" s="23"/>
    </row>
    <row r="52" spans="7:15" x14ac:dyDescent="0.25">
      <c r="G52" s="20">
        <v>12346757</v>
      </c>
      <c r="H52" s="20" t="s">
        <v>110</v>
      </c>
      <c r="I52" s="21">
        <v>5</v>
      </c>
      <c r="J52" s="23"/>
      <c r="K52" s="23"/>
      <c r="L52" s="23"/>
      <c r="M52" s="23"/>
      <c r="N52" s="23"/>
      <c r="O52" s="23"/>
    </row>
    <row r="53" spans="7:15" x14ac:dyDescent="0.25">
      <c r="G53" s="20">
        <v>12346866</v>
      </c>
      <c r="H53" s="20" t="s">
        <v>97</v>
      </c>
      <c r="I53" s="21">
        <v>4</v>
      </c>
      <c r="J53" s="23"/>
      <c r="K53" s="23"/>
      <c r="L53" s="23"/>
      <c r="M53" s="23"/>
      <c r="N53" s="23"/>
      <c r="O53" s="23"/>
    </row>
    <row r="54" spans="7:15" x14ac:dyDescent="0.25">
      <c r="G54" s="20">
        <v>12346975</v>
      </c>
      <c r="H54" s="20" t="s">
        <v>99</v>
      </c>
      <c r="I54" s="21">
        <v>5</v>
      </c>
      <c r="J54" s="23"/>
      <c r="K54" s="23"/>
      <c r="L54" s="23"/>
      <c r="M54" s="23"/>
      <c r="N54" s="23"/>
      <c r="O54" s="23"/>
    </row>
    <row r="55" spans="7:15" x14ac:dyDescent="0.25">
      <c r="G55" s="20">
        <v>12347084</v>
      </c>
      <c r="H55" s="20" t="s">
        <v>101</v>
      </c>
      <c r="I55" s="21">
        <v>5</v>
      </c>
      <c r="J55" s="23"/>
      <c r="K55" s="23"/>
      <c r="L55" s="23"/>
      <c r="M55" s="23"/>
      <c r="N55" s="23"/>
      <c r="O55" s="23"/>
    </row>
    <row r="56" spans="7:15" x14ac:dyDescent="0.25">
      <c r="G56" s="20">
        <v>12347193</v>
      </c>
      <c r="H56" s="20" t="s">
        <v>103</v>
      </c>
      <c r="I56" s="21">
        <v>5</v>
      </c>
      <c r="J56" s="23"/>
      <c r="K56" s="23"/>
      <c r="L56" s="23"/>
      <c r="M56" s="23"/>
      <c r="N56" s="23"/>
      <c r="O56" s="23"/>
    </row>
    <row r="57" spans="7:15" x14ac:dyDescent="0.25">
      <c r="G57" s="20">
        <v>12347302</v>
      </c>
      <c r="H57" s="20" t="s">
        <v>105</v>
      </c>
      <c r="I57" s="21">
        <v>8</v>
      </c>
      <c r="J57" s="23"/>
      <c r="K57" s="23"/>
      <c r="L57" s="23"/>
      <c r="M57" s="23"/>
      <c r="N57" s="23"/>
      <c r="O57" s="23"/>
    </row>
    <row r="58" spans="7:15" x14ac:dyDescent="0.25">
      <c r="G58" s="20">
        <v>12347411</v>
      </c>
      <c r="H58" s="20" t="s">
        <v>107</v>
      </c>
      <c r="I58" s="21">
        <v>8</v>
      </c>
      <c r="J58" s="23"/>
      <c r="K58" s="23"/>
      <c r="L58" s="23"/>
      <c r="M58" s="23"/>
      <c r="N58" s="23"/>
      <c r="O58" s="23"/>
    </row>
    <row r="59" spans="7:15" x14ac:dyDescent="0.25">
      <c r="G59" s="20">
        <v>12347520</v>
      </c>
      <c r="H59" s="20" t="s">
        <v>109</v>
      </c>
      <c r="I59" s="21">
        <v>8</v>
      </c>
      <c r="J59" s="23"/>
      <c r="K59" s="23"/>
      <c r="L59" s="23"/>
      <c r="M59" s="23"/>
      <c r="N59" s="23"/>
      <c r="O59" s="23"/>
    </row>
    <row r="60" spans="7:15" x14ac:dyDescent="0.25">
      <c r="G60" s="20">
        <v>12347629</v>
      </c>
      <c r="H60" s="20" t="s">
        <v>111</v>
      </c>
      <c r="I60" s="21">
        <v>5</v>
      </c>
      <c r="J60" s="23"/>
      <c r="K60" s="23"/>
      <c r="L60" s="23"/>
      <c r="M60" s="23"/>
      <c r="N60" s="23"/>
      <c r="O60" s="23"/>
    </row>
    <row r="61" spans="7:15" x14ac:dyDescent="0.25">
      <c r="G61" s="20">
        <v>12347738</v>
      </c>
      <c r="H61" s="20" t="s">
        <v>112</v>
      </c>
      <c r="I61" s="21">
        <v>4</v>
      </c>
      <c r="J61" s="23"/>
      <c r="K61" s="23"/>
      <c r="L61" s="23"/>
      <c r="M61" s="23"/>
      <c r="N61" s="23"/>
      <c r="O61" s="23"/>
    </row>
    <row r="62" spans="7:15" x14ac:dyDescent="0.25">
      <c r="G62" s="20">
        <v>12347847</v>
      </c>
      <c r="H62" s="20" t="s">
        <v>114</v>
      </c>
      <c r="I62" s="21">
        <v>4</v>
      </c>
      <c r="J62" s="23"/>
      <c r="K62" s="23"/>
      <c r="L62" s="23"/>
      <c r="M62" s="23"/>
      <c r="N62" s="23"/>
      <c r="O62" s="23"/>
    </row>
    <row r="63" spans="7:15" x14ac:dyDescent="0.25">
      <c r="G63" s="20">
        <v>12347956</v>
      </c>
      <c r="H63" s="20" t="s">
        <v>116</v>
      </c>
      <c r="I63" s="21">
        <v>3</v>
      </c>
      <c r="J63" s="23"/>
      <c r="K63" s="23"/>
      <c r="L63" s="23"/>
      <c r="M63" s="23"/>
      <c r="N63" s="23"/>
      <c r="O63" s="23"/>
    </row>
    <row r="64" spans="7:15" x14ac:dyDescent="0.25">
      <c r="G64" s="20">
        <v>12348065</v>
      </c>
      <c r="H64" s="20" t="s">
        <v>118</v>
      </c>
      <c r="I64" s="21">
        <v>2</v>
      </c>
      <c r="J64" s="23"/>
      <c r="K64" s="23"/>
      <c r="L64" s="23"/>
      <c r="M64" s="23"/>
      <c r="N64" s="23"/>
      <c r="O64" s="23"/>
    </row>
    <row r="65" spans="7:15" x14ac:dyDescent="0.25">
      <c r="G65" s="20">
        <v>12348174</v>
      </c>
      <c r="H65" s="20" t="s">
        <v>120</v>
      </c>
      <c r="I65" s="21">
        <v>1</v>
      </c>
      <c r="J65" s="23"/>
      <c r="K65" s="23"/>
      <c r="L65" s="23"/>
      <c r="M65" s="23"/>
      <c r="N65" s="23"/>
      <c r="O65" s="23"/>
    </row>
    <row r="66" spans="7:15" x14ac:dyDescent="0.25">
      <c r="G66" s="20">
        <v>12348283</v>
      </c>
      <c r="H66" s="20" t="s">
        <v>122</v>
      </c>
      <c r="I66" s="21">
        <v>1.5</v>
      </c>
      <c r="J66" s="23"/>
      <c r="K66" s="23"/>
      <c r="L66" s="23"/>
      <c r="M66" s="23"/>
      <c r="N66" s="23"/>
      <c r="O66" s="23"/>
    </row>
    <row r="67" spans="7:15" x14ac:dyDescent="0.25">
      <c r="G67" s="20">
        <v>12348392</v>
      </c>
      <c r="H67" s="20" t="s">
        <v>124</v>
      </c>
      <c r="I67" s="21">
        <v>7.87</v>
      </c>
      <c r="J67" s="23"/>
      <c r="K67" s="23"/>
      <c r="L67" s="23"/>
      <c r="M67" s="23"/>
      <c r="N67" s="23"/>
      <c r="O67" s="23"/>
    </row>
    <row r="68" spans="7:15" x14ac:dyDescent="0.25">
      <c r="G68" s="20">
        <v>12348501</v>
      </c>
      <c r="H68" s="20" t="s">
        <v>126</v>
      </c>
      <c r="I68" s="21">
        <v>7</v>
      </c>
      <c r="J68" s="23"/>
      <c r="K68" s="23"/>
      <c r="L68" s="23"/>
      <c r="M68" s="23"/>
      <c r="N68" s="23"/>
      <c r="O68" s="23"/>
    </row>
    <row r="69" spans="7:15" x14ac:dyDescent="0.25">
      <c r="G69" s="20">
        <v>12348610</v>
      </c>
      <c r="H69" s="20" t="s">
        <v>128</v>
      </c>
      <c r="I69" s="21">
        <v>3</v>
      </c>
      <c r="J69" s="23"/>
      <c r="K69" s="23"/>
      <c r="L69" s="23"/>
      <c r="M69" s="23"/>
      <c r="N69" s="23"/>
      <c r="O69" s="23"/>
    </row>
    <row r="70" spans="7:15" x14ac:dyDescent="0.25">
      <c r="G70" s="20">
        <v>12348719</v>
      </c>
      <c r="H70" s="20" t="s">
        <v>130</v>
      </c>
      <c r="I70" s="21">
        <v>4</v>
      </c>
      <c r="J70" s="23"/>
      <c r="K70" s="23"/>
      <c r="L70" s="23"/>
      <c r="M70" s="23"/>
      <c r="N70" s="23"/>
      <c r="O70" s="23"/>
    </row>
    <row r="71" spans="7:15" x14ac:dyDescent="0.25">
      <c r="G71" s="20">
        <v>12348828</v>
      </c>
      <c r="H71" s="20" t="s">
        <v>132</v>
      </c>
      <c r="I71" s="21">
        <v>4</v>
      </c>
      <c r="J71" s="23"/>
      <c r="K71" s="23"/>
      <c r="L71" s="23"/>
      <c r="M71" s="23"/>
      <c r="N71" s="23"/>
      <c r="O71" s="23"/>
    </row>
    <row r="72" spans="7:15" x14ac:dyDescent="0.25">
      <c r="G72" s="20">
        <v>12348937</v>
      </c>
      <c r="H72" s="20" t="s">
        <v>134</v>
      </c>
      <c r="I72" s="21">
        <v>4</v>
      </c>
      <c r="J72" s="23"/>
      <c r="K72" s="23"/>
      <c r="L72" s="23"/>
      <c r="M72" s="23"/>
      <c r="N72" s="23"/>
      <c r="O72" s="23"/>
    </row>
    <row r="73" spans="7:15" x14ac:dyDescent="0.25">
      <c r="G73" s="20">
        <v>12349046</v>
      </c>
      <c r="H73" s="20" t="s">
        <v>136</v>
      </c>
      <c r="I73" s="21">
        <v>2</v>
      </c>
      <c r="J73" s="23"/>
      <c r="K73" s="23"/>
      <c r="L73" s="23"/>
      <c r="M73" s="23"/>
      <c r="N73" s="23"/>
      <c r="O73" s="23"/>
    </row>
    <row r="74" spans="7:15" x14ac:dyDescent="0.25">
      <c r="G74" s="20">
        <v>12349155</v>
      </c>
      <c r="H74" s="20" t="s">
        <v>138</v>
      </c>
      <c r="I74" s="21">
        <v>4</v>
      </c>
      <c r="J74" s="23"/>
      <c r="K74" s="23"/>
      <c r="L74" s="23"/>
      <c r="M74" s="23"/>
      <c r="N74" s="23"/>
      <c r="O74" s="23"/>
    </row>
    <row r="75" spans="7:15" x14ac:dyDescent="0.25">
      <c r="G75" s="20">
        <v>12349264</v>
      </c>
      <c r="H75" s="20" t="s">
        <v>140</v>
      </c>
      <c r="I75" s="21">
        <v>5</v>
      </c>
      <c r="J75" s="23"/>
      <c r="K75" s="23"/>
      <c r="L75" s="23"/>
      <c r="M75" s="23"/>
      <c r="N75" s="23"/>
      <c r="O75" s="23"/>
    </row>
    <row r="76" spans="7:15" x14ac:dyDescent="0.25">
      <c r="G76" s="20">
        <v>12349373</v>
      </c>
      <c r="H76" s="20" t="s">
        <v>142</v>
      </c>
      <c r="I76" s="21">
        <v>2</v>
      </c>
      <c r="J76" s="23"/>
      <c r="K76" s="23"/>
      <c r="L76" s="23"/>
      <c r="M76" s="23"/>
      <c r="N76" s="23"/>
      <c r="O76" s="23"/>
    </row>
    <row r="77" spans="7:15" x14ac:dyDescent="0.25">
      <c r="G77" s="20">
        <v>12349482</v>
      </c>
      <c r="H77" s="20" t="s">
        <v>144</v>
      </c>
      <c r="I77" s="21">
        <v>5</v>
      </c>
      <c r="J77" s="23"/>
      <c r="K77" s="23"/>
      <c r="L77" s="23"/>
      <c r="M77" s="23"/>
      <c r="N77" s="23"/>
      <c r="O77" s="23"/>
    </row>
    <row r="78" spans="7:15" x14ac:dyDescent="0.25">
      <c r="G78" s="20">
        <v>12349591</v>
      </c>
      <c r="H78" s="20" t="s">
        <v>146</v>
      </c>
      <c r="I78" s="21">
        <v>10</v>
      </c>
      <c r="J78" s="23"/>
      <c r="K78" s="23"/>
      <c r="L78" s="23"/>
      <c r="M78" s="23"/>
      <c r="N78" s="23"/>
      <c r="O78" s="23"/>
    </row>
    <row r="79" spans="7:15" x14ac:dyDescent="0.25">
      <c r="G79" s="20">
        <v>12349700</v>
      </c>
      <c r="H79" s="20" t="s">
        <v>148</v>
      </c>
      <c r="I79" s="21">
        <v>2.5</v>
      </c>
      <c r="J79" s="23"/>
      <c r="K79" s="23"/>
      <c r="L79" s="23"/>
      <c r="M79" s="23"/>
      <c r="N79" s="23"/>
      <c r="O79" s="23"/>
    </row>
    <row r="80" spans="7:15" x14ac:dyDescent="0.25">
      <c r="G80" s="20">
        <v>12349809</v>
      </c>
      <c r="H80" s="20" t="s">
        <v>150</v>
      </c>
      <c r="I80" s="21">
        <v>1.5</v>
      </c>
      <c r="J80" s="23"/>
      <c r="K80" s="23"/>
      <c r="L80" s="23"/>
      <c r="M80" s="23"/>
      <c r="N80" s="23"/>
      <c r="O80" s="23"/>
    </row>
    <row r="81" spans="7:15" x14ac:dyDescent="0.25">
      <c r="G81" s="20">
        <v>12349918</v>
      </c>
      <c r="H81" s="20" t="s">
        <v>152</v>
      </c>
      <c r="I81" s="21">
        <v>1</v>
      </c>
      <c r="J81" s="23"/>
      <c r="K81" s="23"/>
      <c r="L81" s="23"/>
      <c r="M81" s="23"/>
      <c r="N81" s="23"/>
      <c r="O81" s="23"/>
    </row>
    <row r="82" spans="7:15" x14ac:dyDescent="0.25">
      <c r="G82" s="20">
        <v>12350027</v>
      </c>
      <c r="H82" s="20" t="s">
        <v>154</v>
      </c>
      <c r="I82" s="21">
        <v>1.5</v>
      </c>
      <c r="J82" s="23"/>
      <c r="K82" s="23"/>
      <c r="L82" s="23"/>
      <c r="M82" s="23"/>
      <c r="N82" s="23"/>
      <c r="O82" s="23"/>
    </row>
    <row r="83" spans="7:15" x14ac:dyDescent="0.25">
      <c r="G83" s="20">
        <v>12350136</v>
      </c>
      <c r="H83" s="20" t="s">
        <v>156</v>
      </c>
      <c r="I83" s="21">
        <v>1</v>
      </c>
      <c r="J83" s="23"/>
      <c r="K83" s="23"/>
      <c r="L83" s="23"/>
      <c r="M83" s="23"/>
      <c r="N83" s="23"/>
      <c r="O83" s="23"/>
    </row>
    <row r="84" spans="7:15" x14ac:dyDescent="0.25">
      <c r="G84" s="20">
        <v>12350245</v>
      </c>
      <c r="H84" s="20" t="s">
        <v>158</v>
      </c>
      <c r="I84" s="21">
        <v>3</v>
      </c>
      <c r="J84" s="23"/>
      <c r="K84" s="23"/>
      <c r="L84" s="23"/>
      <c r="M84" s="23"/>
      <c r="N84" s="23"/>
      <c r="O84" s="23"/>
    </row>
    <row r="85" spans="7:15" x14ac:dyDescent="0.25">
      <c r="G85" s="20">
        <v>12350354</v>
      </c>
      <c r="H85" s="20" t="s">
        <v>160</v>
      </c>
      <c r="I85" s="21">
        <v>3</v>
      </c>
      <c r="J85" s="23"/>
      <c r="K85" s="23"/>
      <c r="L85" s="23"/>
      <c r="M85" s="23"/>
      <c r="N85" s="23"/>
      <c r="O85" s="23"/>
    </row>
    <row r="86" spans="7:15" x14ac:dyDescent="0.25">
      <c r="G86" s="20">
        <v>12350463</v>
      </c>
      <c r="H86" s="20" t="s">
        <v>162</v>
      </c>
      <c r="I86" s="21">
        <v>2</v>
      </c>
      <c r="J86" s="23"/>
      <c r="K86" s="23"/>
      <c r="L86" s="23"/>
      <c r="M86" s="23"/>
      <c r="N86" s="23"/>
      <c r="O86" s="23"/>
    </row>
    <row r="87" spans="7:15" x14ac:dyDescent="0.25">
      <c r="G87" s="20">
        <v>12350572</v>
      </c>
      <c r="H87" s="20" t="s">
        <v>164</v>
      </c>
      <c r="I87" s="21">
        <v>2</v>
      </c>
      <c r="J87" s="23"/>
      <c r="K87" s="23"/>
      <c r="L87" s="23"/>
      <c r="M87" s="23"/>
      <c r="N87" s="23"/>
      <c r="O87" s="23"/>
    </row>
    <row r="88" spans="7:15" x14ac:dyDescent="0.25">
      <c r="G88" s="20">
        <v>12350681</v>
      </c>
      <c r="H88" s="20" t="s">
        <v>166</v>
      </c>
      <c r="I88" s="21">
        <v>2</v>
      </c>
      <c r="J88" s="23"/>
      <c r="K88" s="23"/>
      <c r="L88" s="23"/>
      <c r="M88" s="23"/>
      <c r="N88" s="23"/>
      <c r="O88" s="23"/>
    </row>
    <row r="89" spans="7:15" x14ac:dyDescent="0.25">
      <c r="G89" s="20">
        <v>12350790</v>
      </c>
      <c r="H89" s="20" t="s">
        <v>168</v>
      </c>
      <c r="I89" s="21">
        <v>2</v>
      </c>
      <c r="J89" s="23"/>
      <c r="K89" s="23"/>
      <c r="L89" s="23"/>
      <c r="M89" s="23"/>
      <c r="N89" s="23"/>
      <c r="O89" s="23"/>
    </row>
    <row r="90" spans="7:15" x14ac:dyDescent="0.25">
      <c r="G90" s="20">
        <v>12350899</v>
      </c>
      <c r="H90" s="20" t="s">
        <v>170</v>
      </c>
      <c r="I90" s="21">
        <v>4</v>
      </c>
      <c r="J90" s="23"/>
      <c r="K90" s="23"/>
      <c r="L90" s="23"/>
      <c r="M90" s="23"/>
      <c r="N90" s="23"/>
      <c r="O90" s="23"/>
    </row>
    <row r="91" spans="7:15" x14ac:dyDescent="0.25">
      <c r="G91" s="20">
        <v>12351008</v>
      </c>
      <c r="H91" s="20" t="s">
        <v>172</v>
      </c>
      <c r="I91" s="21">
        <v>4</v>
      </c>
      <c r="J91" s="23"/>
      <c r="K91" s="23"/>
      <c r="L91" s="23"/>
      <c r="M91" s="23"/>
      <c r="N91" s="23"/>
      <c r="O91" s="23"/>
    </row>
    <row r="92" spans="7:15" x14ac:dyDescent="0.25">
      <c r="G92" s="20">
        <v>12351117</v>
      </c>
      <c r="H92" s="20" t="s">
        <v>113</v>
      </c>
      <c r="I92" s="21">
        <v>2</v>
      </c>
      <c r="J92" s="23"/>
      <c r="K92" s="23"/>
      <c r="L92" s="23"/>
      <c r="M92" s="23"/>
      <c r="N92" s="23"/>
      <c r="O92" s="23"/>
    </row>
    <row r="93" spans="7:15" x14ac:dyDescent="0.25">
      <c r="G93" s="20">
        <v>12351226</v>
      </c>
      <c r="H93" s="20" t="s">
        <v>115</v>
      </c>
      <c r="I93" s="21">
        <v>1</v>
      </c>
      <c r="J93" s="23"/>
      <c r="K93" s="23"/>
      <c r="L93" s="23"/>
      <c r="M93" s="23"/>
      <c r="N93" s="23"/>
      <c r="O93" s="23"/>
    </row>
    <row r="94" spans="7:15" x14ac:dyDescent="0.25">
      <c r="G94" s="20">
        <v>12351335</v>
      </c>
      <c r="H94" s="20" t="s">
        <v>117</v>
      </c>
      <c r="I94" s="21">
        <v>4</v>
      </c>
      <c r="J94" s="23"/>
      <c r="K94" s="23"/>
      <c r="L94" s="23"/>
      <c r="M94" s="23"/>
      <c r="N94" s="23"/>
      <c r="O94" s="23"/>
    </row>
    <row r="95" spans="7:15" x14ac:dyDescent="0.25">
      <c r="G95" s="20">
        <v>12351444</v>
      </c>
      <c r="H95" s="20" t="s">
        <v>119</v>
      </c>
      <c r="I95" s="21">
        <v>2</v>
      </c>
      <c r="J95" s="23"/>
      <c r="K95" s="23"/>
      <c r="L95" s="23"/>
      <c r="M95" s="23"/>
      <c r="N95" s="23"/>
      <c r="O95" s="23"/>
    </row>
    <row r="96" spans="7:15" x14ac:dyDescent="0.25">
      <c r="G96" s="20">
        <v>12351553</v>
      </c>
      <c r="H96" s="20" t="s">
        <v>121</v>
      </c>
      <c r="I96" s="21">
        <v>2</v>
      </c>
      <c r="J96" s="23"/>
      <c r="K96" s="23"/>
      <c r="L96" s="23"/>
      <c r="M96" s="23"/>
      <c r="N96" s="23"/>
      <c r="O96" s="23"/>
    </row>
    <row r="97" spans="7:15" x14ac:dyDescent="0.25">
      <c r="G97" s="20">
        <v>12351662</v>
      </c>
      <c r="H97" s="20" t="s">
        <v>123</v>
      </c>
      <c r="I97" s="21">
        <v>1</v>
      </c>
      <c r="J97" s="23"/>
      <c r="K97" s="23"/>
      <c r="L97" s="23"/>
      <c r="M97" s="23"/>
      <c r="N97" s="23"/>
      <c r="O97" s="23"/>
    </row>
    <row r="98" spans="7:15" x14ac:dyDescent="0.25">
      <c r="G98" s="20">
        <v>12351771</v>
      </c>
      <c r="H98" s="20" t="s">
        <v>125</v>
      </c>
      <c r="I98" s="21">
        <v>3</v>
      </c>
      <c r="J98" s="23"/>
      <c r="K98" s="23"/>
      <c r="L98" s="23"/>
      <c r="M98" s="23"/>
      <c r="N98" s="23"/>
      <c r="O98" s="23"/>
    </row>
    <row r="99" spans="7:15" x14ac:dyDescent="0.25">
      <c r="G99" s="20">
        <v>12351880</v>
      </c>
      <c r="H99" s="20" t="s">
        <v>127</v>
      </c>
      <c r="I99" s="21">
        <v>5</v>
      </c>
      <c r="J99" s="23"/>
      <c r="K99" s="23"/>
      <c r="L99" s="23"/>
      <c r="M99" s="23"/>
      <c r="N99" s="23"/>
      <c r="O99" s="23"/>
    </row>
    <row r="100" spans="7:15" x14ac:dyDescent="0.25">
      <c r="G100" s="20">
        <v>12351989</v>
      </c>
      <c r="H100" s="20" t="s">
        <v>129</v>
      </c>
      <c r="I100" s="21">
        <v>1</v>
      </c>
      <c r="J100" s="23"/>
      <c r="K100" s="23"/>
      <c r="L100" s="23"/>
      <c r="M100" s="23"/>
      <c r="N100" s="23"/>
      <c r="O100" s="23"/>
    </row>
    <row r="101" spans="7:15" x14ac:dyDescent="0.25">
      <c r="G101" s="20">
        <v>12352098</v>
      </c>
      <c r="H101" s="20" t="s">
        <v>131</v>
      </c>
      <c r="I101" s="21">
        <v>2</v>
      </c>
      <c r="J101" s="23"/>
      <c r="K101" s="23"/>
      <c r="L101" s="23"/>
      <c r="M101" s="23"/>
      <c r="N101" s="23"/>
      <c r="O101" s="23"/>
    </row>
    <row r="102" spans="7:15" x14ac:dyDescent="0.25">
      <c r="G102" s="20">
        <v>12352207</v>
      </c>
      <c r="H102" s="20" t="s">
        <v>133</v>
      </c>
      <c r="I102" s="21">
        <v>1</v>
      </c>
      <c r="J102" s="23"/>
      <c r="K102" s="23"/>
      <c r="L102" s="23"/>
      <c r="M102" s="23"/>
      <c r="N102" s="23"/>
      <c r="O102" s="23"/>
    </row>
    <row r="103" spans="7:15" x14ac:dyDescent="0.25">
      <c r="G103" s="20">
        <v>12352316</v>
      </c>
      <c r="H103" s="20" t="s">
        <v>135</v>
      </c>
      <c r="I103" s="21">
        <v>1</v>
      </c>
      <c r="J103" s="23"/>
      <c r="K103" s="23"/>
      <c r="L103" s="23"/>
      <c r="M103" s="23"/>
      <c r="N103" s="23"/>
      <c r="O103" s="23"/>
    </row>
    <row r="104" spans="7:15" x14ac:dyDescent="0.25">
      <c r="G104" s="20">
        <v>12352425</v>
      </c>
      <c r="H104" s="20" t="s">
        <v>137</v>
      </c>
      <c r="I104" s="21">
        <v>1</v>
      </c>
      <c r="J104" s="23"/>
      <c r="K104" s="23"/>
      <c r="L104" s="23"/>
      <c r="M104" s="23"/>
      <c r="N104" s="23"/>
      <c r="O104" s="23"/>
    </row>
    <row r="105" spans="7:15" x14ac:dyDescent="0.25">
      <c r="G105" s="20">
        <v>12352534</v>
      </c>
      <c r="H105" s="20" t="s">
        <v>139</v>
      </c>
      <c r="I105" s="21">
        <v>2</v>
      </c>
      <c r="J105" s="23"/>
      <c r="K105" s="23"/>
      <c r="L105" s="23"/>
      <c r="M105" s="23"/>
      <c r="N105" s="23"/>
      <c r="O105" s="23"/>
    </row>
    <row r="106" spans="7:15" x14ac:dyDescent="0.25">
      <c r="G106" s="20">
        <v>12352643</v>
      </c>
      <c r="H106" s="20" t="s">
        <v>141</v>
      </c>
      <c r="I106" s="21">
        <v>4</v>
      </c>
      <c r="J106" s="23"/>
      <c r="K106" s="23"/>
      <c r="L106" s="23"/>
      <c r="M106" s="23"/>
      <c r="N106" s="23"/>
      <c r="O106" s="23"/>
    </row>
    <row r="107" spans="7:15" x14ac:dyDescent="0.25">
      <c r="G107" s="20">
        <v>12352752</v>
      </c>
      <c r="H107" s="20" t="s">
        <v>143</v>
      </c>
      <c r="I107" s="21">
        <v>5</v>
      </c>
      <c r="J107" s="23"/>
      <c r="K107" s="23"/>
      <c r="L107" s="23"/>
      <c r="M107" s="23"/>
      <c r="N107" s="23"/>
      <c r="O107" s="23"/>
    </row>
    <row r="108" spans="7:15" x14ac:dyDescent="0.25">
      <c r="G108" s="20">
        <v>12352861</v>
      </c>
      <c r="H108" s="20" t="s">
        <v>145</v>
      </c>
      <c r="I108" s="21">
        <v>4</v>
      </c>
      <c r="J108" s="23"/>
      <c r="K108" s="23"/>
      <c r="L108" s="23"/>
      <c r="M108" s="23"/>
      <c r="N108" s="23"/>
      <c r="O108" s="23"/>
    </row>
    <row r="109" spans="7:15" x14ac:dyDescent="0.25">
      <c r="G109" s="20">
        <v>12352970</v>
      </c>
      <c r="H109" s="20" t="s">
        <v>147</v>
      </c>
      <c r="I109" s="21">
        <v>1.89</v>
      </c>
      <c r="J109" s="23"/>
      <c r="K109" s="23"/>
      <c r="L109" s="23"/>
      <c r="M109" s="23"/>
      <c r="N109" s="23"/>
      <c r="O109" s="23"/>
    </row>
    <row r="110" spans="7:15" x14ac:dyDescent="0.25">
      <c r="G110" s="20">
        <v>12353079</v>
      </c>
      <c r="H110" s="20" t="s">
        <v>149</v>
      </c>
      <c r="I110" s="21">
        <v>4</v>
      </c>
      <c r="J110" s="23"/>
      <c r="K110" s="23"/>
      <c r="L110" s="23"/>
      <c r="M110" s="23"/>
      <c r="N110" s="23"/>
      <c r="O110" s="23"/>
    </row>
    <row r="111" spans="7:15" x14ac:dyDescent="0.25">
      <c r="G111" s="20">
        <v>12353188</v>
      </c>
      <c r="H111" s="20" t="s">
        <v>151</v>
      </c>
      <c r="I111" s="21">
        <v>4</v>
      </c>
      <c r="J111" s="23"/>
      <c r="K111" s="23"/>
      <c r="L111" s="23"/>
      <c r="M111" s="23"/>
      <c r="N111" s="23"/>
      <c r="O111" s="23"/>
    </row>
    <row r="112" spans="7:15" x14ac:dyDescent="0.25">
      <c r="G112" s="20">
        <v>12353297</v>
      </c>
      <c r="H112" s="20" t="s">
        <v>153</v>
      </c>
      <c r="I112" s="21">
        <v>4</v>
      </c>
      <c r="J112" s="23"/>
      <c r="K112" s="23"/>
      <c r="L112" s="23"/>
      <c r="M112" s="23"/>
      <c r="N112" s="23"/>
      <c r="O112" s="23"/>
    </row>
    <row r="113" spans="7:15" x14ac:dyDescent="0.25">
      <c r="G113" s="20">
        <v>12353406</v>
      </c>
      <c r="H113" s="20" t="s">
        <v>155</v>
      </c>
      <c r="I113" s="21">
        <v>4</v>
      </c>
      <c r="J113" s="23"/>
      <c r="K113" s="23"/>
      <c r="L113" s="23"/>
      <c r="M113" s="23"/>
      <c r="N113" s="23"/>
      <c r="O113" s="23"/>
    </row>
    <row r="114" spans="7:15" x14ac:dyDescent="0.25">
      <c r="G114" s="20">
        <v>12353515</v>
      </c>
      <c r="H114" s="20" t="s">
        <v>157</v>
      </c>
      <c r="I114" s="21">
        <v>4</v>
      </c>
      <c r="J114" s="23"/>
      <c r="K114" s="23"/>
      <c r="L114" s="23"/>
      <c r="M114" s="23"/>
      <c r="N114" s="23"/>
      <c r="O114" s="23"/>
    </row>
    <row r="115" spans="7:15" x14ac:dyDescent="0.25">
      <c r="G115" s="20">
        <v>12353624</v>
      </c>
      <c r="H115" s="20" t="s">
        <v>159</v>
      </c>
      <c r="I115" s="21">
        <v>4</v>
      </c>
      <c r="J115" s="23"/>
      <c r="K115" s="23"/>
      <c r="L115" s="23"/>
      <c r="M115" s="23"/>
      <c r="N115" s="23"/>
      <c r="O115" s="23"/>
    </row>
    <row r="116" spans="7:15" x14ac:dyDescent="0.25">
      <c r="G116" s="20">
        <v>12353733</v>
      </c>
      <c r="H116" s="20" t="s">
        <v>161</v>
      </c>
      <c r="I116" s="21">
        <v>4</v>
      </c>
      <c r="J116" s="23"/>
      <c r="K116" s="23"/>
      <c r="L116" s="23"/>
      <c r="M116" s="23"/>
      <c r="N116" s="23"/>
      <c r="O116" s="23"/>
    </row>
    <row r="117" spans="7:15" x14ac:dyDescent="0.25">
      <c r="G117" s="20">
        <v>12353842</v>
      </c>
      <c r="H117" s="20" t="s">
        <v>163</v>
      </c>
      <c r="I117" s="21">
        <v>4</v>
      </c>
      <c r="J117" s="23"/>
      <c r="K117" s="23"/>
      <c r="L117" s="23"/>
      <c r="M117" s="23"/>
      <c r="N117" s="23"/>
      <c r="O117" s="23"/>
    </row>
    <row r="118" spans="7:15" x14ac:dyDescent="0.25">
      <c r="G118" s="20">
        <v>12353951</v>
      </c>
      <c r="H118" s="20" t="s">
        <v>165</v>
      </c>
      <c r="I118" s="21">
        <v>5</v>
      </c>
      <c r="J118" s="23"/>
      <c r="K118" s="23"/>
      <c r="L118" s="23"/>
      <c r="M118" s="23"/>
      <c r="N118" s="23"/>
      <c r="O118" s="23"/>
    </row>
    <row r="119" spans="7:15" x14ac:dyDescent="0.25">
      <c r="G119" s="20">
        <v>12354060</v>
      </c>
      <c r="H119" s="20" t="s">
        <v>167</v>
      </c>
      <c r="I119" s="21">
        <v>5</v>
      </c>
      <c r="J119" s="23"/>
      <c r="K119" s="23"/>
      <c r="L119" s="23"/>
      <c r="M119" s="23"/>
      <c r="N119" s="23"/>
      <c r="O119" s="23"/>
    </row>
    <row r="120" spans="7:15" x14ac:dyDescent="0.25">
      <c r="G120" s="20">
        <v>12354169</v>
      </c>
      <c r="H120" s="20" t="s">
        <v>169</v>
      </c>
      <c r="I120" s="21">
        <v>5</v>
      </c>
      <c r="J120" s="23"/>
      <c r="K120" s="23"/>
      <c r="L120" s="23"/>
      <c r="M120" s="23"/>
      <c r="N120" s="23"/>
      <c r="O120" s="23"/>
    </row>
    <row r="121" spans="7:15" x14ac:dyDescent="0.25">
      <c r="G121" s="20">
        <v>12354278</v>
      </c>
      <c r="H121" s="20" t="s">
        <v>171</v>
      </c>
      <c r="I121" s="21">
        <v>4</v>
      </c>
      <c r="J121" s="23"/>
      <c r="K121" s="23"/>
      <c r="L121" s="23"/>
      <c r="M121" s="23"/>
      <c r="N121" s="23"/>
      <c r="O121" s="23"/>
    </row>
    <row r="122" spans="7:15" x14ac:dyDescent="0.25">
      <c r="G122" s="20">
        <v>12354387</v>
      </c>
      <c r="H122" s="20" t="s">
        <v>195</v>
      </c>
      <c r="I122" s="21">
        <v>0.99</v>
      </c>
      <c r="J122" s="23"/>
      <c r="K122" s="23"/>
      <c r="L122" s="23"/>
      <c r="M122" s="23"/>
      <c r="N122" s="23"/>
      <c r="O122" s="23"/>
    </row>
    <row r="123" spans="7:15" x14ac:dyDescent="0.25">
      <c r="G123" s="20">
        <v>12354496</v>
      </c>
      <c r="H123" s="20" t="s">
        <v>174</v>
      </c>
      <c r="I123" s="21">
        <v>2</v>
      </c>
      <c r="J123" s="23"/>
      <c r="K123" s="23"/>
      <c r="L123" s="23"/>
      <c r="M123" s="23"/>
      <c r="N123" s="23"/>
      <c r="O123" s="23"/>
    </row>
    <row r="124" spans="7:15" x14ac:dyDescent="0.25">
      <c r="G124" s="20">
        <v>12354605</v>
      </c>
      <c r="H124" s="20" t="s">
        <v>176</v>
      </c>
      <c r="I124" s="21">
        <v>2</v>
      </c>
      <c r="J124" s="23"/>
      <c r="K124" s="23"/>
      <c r="L124" s="23"/>
      <c r="M124" s="23"/>
      <c r="N124" s="23"/>
      <c r="O124" s="23"/>
    </row>
    <row r="125" spans="7:15" x14ac:dyDescent="0.25">
      <c r="G125" s="20">
        <v>12354714</v>
      </c>
      <c r="H125" s="20" t="s">
        <v>178</v>
      </c>
      <c r="I125" s="21">
        <v>1</v>
      </c>
      <c r="J125" s="23"/>
      <c r="K125" s="23"/>
      <c r="L125" s="23"/>
      <c r="M125" s="23"/>
      <c r="N125" s="23"/>
      <c r="O125" s="23"/>
    </row>
    <row r="126" spans="7:15" x14ac:dyDescent="0.25">
      <c r="G126" s="20">
        <v>12354823</v>
      </c>
      <c r="H126" s="20" t="s">
        <v>180</v>
      </c>
      <c r="I126" s="21">
        <v>2</v>
      </c>
      <c r="J126" s="23"/>
      <c r="K126" s="23"/>
      <c r="L126" s="23"/>
      <c r="M126" s="23"/>
      <c r="N126" s="23"/>
      <c r="O126" s="23"/>
    </row>
    <row r="127" spans="7:15" x14ac:dyDescent="0.25">
      <c r="G127" s="20">
        <v>12354932</v>
      </c>
      <c r="H127" s="20" t="s">
        <v>182</v>
      </c>
      <c r="I127" s="21">
        <v>2</v>
      </c>
      <c r="J127" s="23"/>
      <c r="K127" s="23"/>
      <c r="L127" s="23"/>
      <c r="M127" s="23"/>
      <c r="N127" s="23"/>
      <c r="O127" s="23"/>
    </row>
    <row r="128" spans="7:15" x14ac:dyDescent="0.25">
      <c r="G128" s="20">
        <v>12355041</v>
      </c>
      <c r="H128" s="20" t="s">
        <v>184</v>
      </c>
      <c r="I128" s="21">
        <v>2</v>
      </c>
      <c r="J128" s="23"/>
      <c r="K128" s="23"/>
      <c r="L128" s="23"/>
      <c r="M128" s="23"/>
      <c r="N128" s="23"/>
      <c r="O128" s="23"/>
    </row>
    <row r="129" spans="7:15" x14ac:dyDescent="0.25">
      <c r="G129" s="20">
        <v>12355150</v>
      </c>
      <c r="H129" s="20" t="s">
        <v>186</v>
      </c>
      <c r="I129" s="21">
        <v>1</v>
      </c>
      <c r="J129" s="23"/>
      <c r="K129" s="23"/>
      <c r="L129" s="23"/>
      <c r="M129" s="23"/>
      <c r="N129" s="23"/>
      <c r="O129" s="23"/>
    </row>
    <row r="130" spans="7:15" x14ac:dyDescent="0.25">
      <c r="G130" s="20">
        <v>12355259</v>
      </c>
      <c r="H130" s="20" t="s">
        <v>188</v>
      </c>
      <c r="I130" s="21">
        <v>2</v>
      </c>
      <c r="J130" s="23"/>
      <c r="K130" s="23"/>
      <c r="L130" s="23"/>
      <c r="M130" s="23"/>
      <c r="N130" s="23"/>
      <c r="O130" s="23"/>
    </row>
    <row r="131" spans="7:15" x14ac:dyDescent="0.25">
      <c r="G131" s="20">
        <v>12355368</v>
      </c>
      <c r="H131" s="20" t="s">
        <v>190</v>
      </c>
      <c r="I131" s="21">
        <v>3</v>
      </c>
      <c r="J131" s="23"/>
      <c r="K131" s="23"/>
      <c r="L131" s="23"/>
      <c r="M131" s="23"/>
      <c r="N131" s="23"/>
      <c r="O131" s="23"/>
    </row>
    <row r="132" spans="7:15" x14ac:dyDescent="0.25">
      <c r="G132" s="20">
        <v>12355477</v>
      </c>
      <c r="H132" s="20" t="s">
        <v>192</v>
      </c>
      <c r="I132" s="21">
        <v>2</v>
      </c>
      <c r="J132" s="23"/>
      <c r="K132" s="23"/>
      <c r="L132" s="23"/>
      <c r="M132" s="23"/>
      <c r="N132" s="23"/>
      <c r="O132" s="23"/>
    </row>
    <row r="133" spans="7:15" x14ac:dyDescent="0.25">
      <c r="G133" s="20">
        <v>12355586</v>
      </c>
      <c r="H133" s="20" t="s">
        <v>194</v>
      </c>
      <c r="I133" s="21">
        <v>2</v>
      </c>
      <c r="J133" s="23"/>
      <c r="K133" s="23"/>
      <c r="L133" s="23"/>
      <c r="M133" s="23"/>
      <c r="N133" s="23"/>
      <c r="O133" s="23"/>
    </row>
    <row r="134" spans="7:15" x14ac:dyDescent="0.25">
      <c r="G134" s="20">
        <v>12355695</v>
      </c>
      <c r="H134" s="20" t="s">
        <v>173</v>
      </c>
      <c r="I134" s="21">
        <v>2</v>
      </c>
      <c r="J134" s="23"/>
      <c r="K134" s="23"/>
      <c r="L134" s="23"/>
      <c r="M134" s="23"/>
      <c r="N134" s="23"/>
      <c r="O134" s="23"/>
    </row>
    <row r="135" spans="7:15" x14ac:dyDescent="0.25">
      <c r="G135" s="20">
        <v>12355804</v>
      </c>
      <c r="H135" s="20" t="s">
        <v>175</v>
      </c>
      <c r="I135" s="21">
        <v>2</v>
      </c>
      <c r="J135" s="23"/>
      <c r="K135" s="23"/>
      <c r="L135" s="23"/>
      <c r="M135" s="23"/>
      <c r="N135" s="23"/>
      <c r="O135" s="23"/>
    </row>
    <row r="136" spans="7:15" x14ac:dyDescent="0.25">
      <c r="G136" s="20">
        <v>12355913</v>
      </c>
      <c r="H136" s="20" t="s">
        <v>177</v>
      </c>
      <c r="I136" s="21">
        <v>2</v>
      </c>
      <c r="J136" s="23"/>
      <c r="K136" s="23"/>
      <c r="L136" s="23"/>
      <c r="M136" s="23"/>
      <c r="N136" s="23"/>
      <c r="O136" s="23"/>
    </row>
    <row r="137" spans="7:15" x14ac:dyDescent="0.25">
      <c r="G137" s="20">
        <v>12356022</v>
      </c>
      <c r="H137" s="20" t="s">
        <v>179</v>
      </c>
      <c r="I137" s="21">
        <v>2</v>
      </c>
      <c r="J137" s="23"/>
      <c r="K137" s="23"/>
      <c r="L137" s="23"/>
      <c r="M137" s="23"/>
      <c r="N137" s="23"/>
      <c r="O137" s="23"/>
    </row>
    <row r="138" spans="7:15" x14ac:dyDescent="0.25">
      <c r="G138" s="20">
        <v>12356131</v>
      </c>
      <c r="H138" s="20" t="s">
        <v>181</v>
      </c>
      <c r="I138" s="21">
        <v>2</v>
      </c>
      <c r="J138" s="23"/>
      <c r="K138" s="23"/>
      <c r="L138" s="23"/>
      <c r="M138" s="23"/>
      <c r="N138" s="23"/>
      <c r="O138" s="23"/>
    </row>
    <row r="139" spans="7:15" x14ac:dyDescent="0.25">
      <c r="G139" s="20">
        <v>12356240</v>
      </c>
      <c r="H139" s="20" t="s">
        <v>183</v>
      </c>
      <c r="I139" s="21">
        <v>2</v>
      </c>
      <c r="J139" s="23"/>
      <c r="K139" s="23"/>
      <c r="L139" s="23"/>
      <c r="M139" s="23"/>
      <c r="N139" s="23"/>
      <c r="O139" s="23"/>
    </row>
    <row r="140" spans="7:15" x14ac:dyDescent="0.25">
      <c r="G140" s="20">
        <v>12356349</v>
      </c>
      <c r="H140" s="20" t="s">
        <v>185</v>
      </c>
      <c r="I140" s="21">
        <v>2</v>
      </c>
      <c r="J140" s="23"/>
      <c r="K140" s="23"/>
      <c r="L140" s="23"/>
      <c r="M140" s="23"/>
      <c r="N140" s="23"/>
      <c r="O140" s="23"/>
    </row>
    <row r="141" spans="7:15" x14ac:dyDescent="0.25">
      <c r="G141" s="20">
        <v>12356458</v>
      </c>
      <c r="H141" s="20" t="s">
        <v>187</v>
      </c>
      <c r="I141" s="21">
        <v>2</v>
      </c>
      <c r="J141" s="23"/>
      <c r="K141" s="23"/>
      <c r="L141" s="23"/>
      <c r="M141" s="23"/>
      <c r="N141" s="23"/>
      <c r="O141" s="23"/>
    </row>
    <row r="142" spans="7:15" x14ac:dyDescent="0.25">
      <c r="G142" s="20">
        <v>12356567</v>
      </c>
      <c r="H142" s="20" t="s">
        <v>189</v>
      </c>
      <c r="I142" s="21">
        <v>2</v>
      </c>
      <c r="J142" s="23"/>
      <c r="K142" s="23"/>
      <c r="L142" s="23"/>
      <c r="M142" s="23"/>
      <c r="N142" s="23"/>
      <c r="O142" s="23"/>
    </row>
    <row r="143" spans="7:15" x14ac:dyDescent="0.25">
      <c r="G143" s="20">
        <v>12356676</v>
      </c>
      <c r="H143" s="20" t="s">
        <v>191</v>
      </c>
      <c r="I143" s="21">
        <v>2</v>
      </c>
      <c r="J143" s="23"/>
      <c r="K143" s="23"/>
      <c r="L143" s="23"/>
      <c r="M143" s="23"/>
      <c r="N143" s="23"/>
      <c r="O143" s="23"/>
    </row>
    <row r="144" spans="7:15" x14ac:dyDescent="0.25">
      <c r="G144" s="20">
        <v>12356785</v>
      </c>
      <c r="H144" s="20" t="s">
        <v>193</v>
      </c>
      <c r="I144" s="21">
        <v>2</v>
      </c>
      <c r="J144" s="23"/>
      <c r="K144" s="23"/>
      <c r="L144" s="23"/>
      <c r="M144" s="23"/>
      <c r="N144" s="23"/>
      <c r="O144" s="23"/>
    </row>
  </sheetData>
  <mergeCells count="1">
    <mergeCell ref="A6:B6"/>
  </mergeCells>
  <pageMargins left="0.511811024" right="0.511811024" top="0.78740157499999996" bottom="0.78740157499999996" header="0.31496062000000002" footer="0.31496062000000002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6:G36"/>
  <sheetViews>
    <sheetView showGridLines="0" workbookViewId="0">
      <selection activeCell="F27" sqref="F27"/>
    </sheetView>
  </sheetViews>
  <sheetFormatPr defaultRowHeight="15" x14ac:dyDescent="0.25"/>
  <cols>
    <col min="1" max="1" width="12.140625" customWidth="1"/>
    <col min="2" max="2" width="14.85546875" bestFit="1" customWidth="1"/>
    <col min="3" max="3" width="60.140625" customWidth="1"/>
    <col min="4" max="4" width="3.85546875" customWidth="1"/>
    <col min="5" max="6" width="12.42578125" customWidth="1"/>
    <col min="7" max="7" width="56.42578125" customWidth="1"/>
    <col min="8" max="8" width="14.140625" customWidth="1"/>
    <col min="9" max="9" width="10.5703125" customWidth="1"/>
    <col min="12" max="12" width="16.85546875" bestFit="1" customWidth="1"/>
  </cols>
  <sheetData>
    <row r="6" spans="2:7" ht="15.75" thickBot="1" x14ac:dyDescent="0.3"/>
    <row r="7" spans="2:7" ht="16.5" customHeight="1" thickBot="1" x14ac:dyDescent="0.3">
      <c r="B7" s="31" t="s">
        <v>215</v>
      </c>
      <c r="C7" s="10" t="s">
        <v>214</v>
      </c>
      <c r="F7" s="93" t="s">
        <v>226</v>
      </c>
      <c r="G7" s="93"/>
    </row>
    <row r="8" spans="2:7" ht="15.75" thickBot="1" x14ac:dyDescent="0.3">
      <c r="B8" s="8" t="s">
        <v>32</v>
      </c>
      <c r="C8" s="86">
        <f>COUNTA('Dados de Vendas'!A2:A92)</f>
        <v>91</v>
      </c>
      <c r="F8" s="93"/>
      <c r="G8" s="93"/>
    </row>
    <row r="9" spans="2:7" ht="20.100000000000001" customHeight="1" thickBot="1" x14ac:dyDescent="0.3"/>
    <row r="10" spans="2:7" ht="15.75" thickBot="1" x14ac:dyDescent="0.3">
      <c r="B10" s="31" t="s">
        <v>216</v>
      </c>
      <c r="C10" s="10" t="s">
        <v>220</v>
      </c>
      <c r="F10" s="31" t="s">
        <v>216</v>
      </c>
      <c r="G10" s="32" t="s">
        <v>222</v>
      </c>
    </row>
    <row r="11" spans="2:7" ht="15.75" thickBot="1" x14ac:dyDescent="0.3">
      <c r="B11" s="8" t="s">
        <v>21</v>
      </c>
      <c r="C11" s="9">
        <f>COUNTIF('Dados de Vendas'!B2:B92,"SUL")</f>
        <v>30</v>
      </c>
      <c r="F11" s="33" t="s">
        <v>21</v>
      </c>
      <c r="G11" s="9">
        <f>COUNTIF('Dados de Vendas'!A:A,"Dorflex")</f>
        <v>36</v>
      </c>
    </row>
    <row r="12" spans="2:7" ht="20.100000000000001" customHeight="1" thickBot="1" x14ac:dyDescent="0.3"/>
    <row r="13" spans="2:7" ht="15.75" thickBot="1" x14ac:dyDescent="0.3">
      <c r="B13" s="31" t="s">
        <v>217</v>
      </c>
      <c r="C13" s="10" t="s">
        <v>221</v>
      </c>
      <c r="F13" s="31" t="s">
        <v>217</v>
      </c>
      <c r="G13" s="32" t="s">
        <v>272</v>
      </c>
    </row>
    <row r="14" spans="2:7" ht="15.75" thickBot="1" x14ac:dyDescent="0.3">
      <c r="B14" s="8" t="s">
        <v>22</v>
      </c>
      <c r="C14" s="9">
        <f>COUNTIFS('Dados de Vendas'!A:A,"Tylenol",'Dados de Vendas'!B:B,"SUL")</f>
        <v>21</v>
      </c>
      <c r="F14" s="33" t="s">
        <v>22</v>
      </c>
      <c r="G14" s="9">
        <f>COUNTIFS('Dados de Vendas'!A:A,"Tylenol",'Dados de Vendas'!M:M,"João")</f>
        <v>21</v>
      </c>
    </row>
    <row r="15" spans="2:7" ht="20.100000000000001" customHeight="1" thickBot="1" x14ac:dyDescent="0.3"/>
    <row r="16" spans="2:7" ht="15.75" thickBot="1" x14ac:dyDescent="0.3">
      <c r="B16" s="31" t="s">
        <v>218</v>
      </c>
      <c r="C16" s="10" t="str">
        <f>"Somar valores de vendas da região "&amp;B18</f>
        <v>Somar valores de vendas da região CENTRO-OESTE</v>
      </c>
      <c r="F16" s="31" t="s">
        <v>218</v>
      </c>
      <c r="G16" s="32" t="s">
        <v>224</v>
      </c>
    </row>
    <row r="17" spans="1:7" ht="15.75" thickBot="1" x14ac:dyDescent="0.3">
      <c r="B17" s="8" t="s">
        <v>23</v>
      </c>
      <c r="C17" s="87">
        <f>SUMIF('Dados de Vendas'!B2:B92,'CONTAR E SOMAR COM CONDIÇÕES'!B18,'Dados de Vendas'!E2:E92)</f>
        <v>15612.5</v>
      </c>
      <c r="F17" s="33" t="s">
        <v>23</v>
      </c>
      <c r="G17" s="9">
        <f>SUMIF('Dados de Vendas'!A:A,'CONTAR E SOMAR COM CONDIÇÕES'!F18,'Dados de Vendas'!C:C)</f>
        <v>6079</v>
      </c>
    </row>
    <row r="18" spans="1:7" ht="15.75" thickBot="1" x14ac:dyDescent="0.3">
      <c r="B18" s="9" t="s">
        <v>5</v>
      </c>
      <c r="F18" s="9" t="s">
        <v>6</v>
      </c>
    </row>
    <row r="19" spans="1:7" ht="20.100000000000001" customHeight="1" thickBot="1" x14ac:dyDescent="0.3"/>
    <row r="20" spans="1:7" ht="15.75" thickBot="1" x14ac:dyDescent="0.3">
      <c r="B20" s="31" t="s">
        <v>219</v>
      </c>
      <c r="C20" s="10" t="str">
        <f>"Somar valores de venda da região "&amp;B22&amp;" e do produto "&amp;B23</f>
        <v>Somar valores de venda da região CENTRO-OESTE e do produto Dorflex</v>
      </c>
      <c r="F20" s="31" t="s">
        <v>219</v>
      </c>
      <c r="G20" s="32" t="s">
        <v>225</v>
      </c>
    </row>
    <row r="21" spans="1:7" ht="15.75" thickBot="1" x14ac:dyDescent="0.3">
      <c r="B21" s="8" t="s">
        <v>24</v>
      </c>
      <c r="C21" s="88">
        <f>SUMIFS('Dados de Vendas'!E2:E92,'Dados de Vendas'!B2:B92,'CONTAR E SOMAR COM CONDIÇÕES'!B22,'Dados de Vendas'!A2:A92,'CONTAR E SOMAR COM CONDIÇÕES'!B23)</f>
        <v>15612.5</v>
      </c>
      <c r="F21" s="33" t="s">
        <v>24</v>
      </c>
      <c r="G21" s="9">
        <f>SUMIFS('Dados de Vendas'!C:C,'Dados de Vendas'!L:L,'CONTAR E SOMAR COM CONDIÇÕES'!F22,'Dados de Vendas'!A:A,'CONTAR E SOMAR COM CONDIÇÕES'!F23)</f>
        <v>6079</v>
      </c>
    </row>
    <row r="22" spans="1:7" ht="15.75" thickBot="1" x14ac:dyDescent="0.3">
      <c r="A22" s="11" t="s">
        <v>26</v>
      </c>
      <c r="B22" s="9" t="s">
        <v>5</v>
      </c>
      <c r="E22" s="34" t="s">
        <v>223</v>
      </c>
      <c r="F22" s="9" t="s">
        <v>16</v>
      </c>
    </row>
    <row r="23" spans="1:7" ht="15.75" thickBot="1" x14ac:dyDescent="0.3">
      <c r="A23" s="11" t="s">
        <v>31</v>
      </c>
      <c r="B23" s="9" t="s">
        <v>6</v>
      </c>
      <c r="E23" s="34" t="s">
        <v>31</v>
      </c>
      <c r="F23" s="9" t="s">
        <v>6</v>
      </c>
    </row>
    <row r="24" spans="1:7" ht="20.100000000000001" customHeight="1" thickBot="1" x14ac:dyDescent="0.3"/>
    <row r="25" spans="1:7" ht="15.75" thickBot="1" x14ac:dyDescent="0.3">
      <c r="B25" s="31" t="s">
        <v>216</v>
      </c>
      <c r="C25" s="10" t="s">
        <v>36</v>
      </c>
    </row>
    <row r="26" spans="1:7" ht="15.75" thickBot="1" x14ac:dyDescent="0.3">
      <c r="B26" s="8" t="s">
        <v>21</v>
      </c>
      <c r="C26" s="9">
        <f>COUNTIF('Dados de Vendas'!C2:C92,"&gt;500")</f>
        <v>1</v>
      </c>
    </row>
    <row r="27" spans="1:7" ht="20.100000000000001" customHeight="1" thickBot="1" x14ac:dyDescent="0.3"/>
    <row r="28" spans="1:7" ht="15.75" thickBot="1" x14ac:dyDescent="0.3">
      <c r="B28" s="31" t="s">
        <v>216</v>
      </c>
      <c r="C28" s="10" t="str">
        <f>"Contar quantidades &gt; do que "&amp;B30</f>
        <v>Contar quantidades &gt; do que 400</v>
      </c>
    </row>
    <row r="29" spans="1:7" ht="15.75" thickBot="1" x14ac:dyDescent="0.3">
      <c r="B29" s="8" t="s">
        <v>21</v>
      </c>
      <c r="C29" s="9">
        <f>COUNTIF('Dados de Vendas'!C2:C92,"&gt;"&amp;B30)</f>
        <v>6</v>
      </c>
    </row>
    <row r="30" spans="1:7" ht="15.75" thickBot="1" x14ac:dyDescent="0.3">
      <c r="B30" s="9">
        <v>400</v>
      </c>
    </row>
    <row r="31" spans="1:7" ht="15.75" thickBot="1" x14ac:dyDescent="0.3"/>
    <row r="32" spans="1:7" ht="15.75" thickBot="1" x14ac:dyDescent="0.3">
      <c r="B32" s="31" t="s">
        <v>216</v>
      </c>
      <c r="C32" s="10" t="s">
        <v>238</v>
      </c>
    </row>
    <row r="33" spans="2:3" ht="15.75" thickBot="1" x14ac:dyDescent="0.3">
      <c r="B33" s="8" t="s">
        <v>21</v>
      </c>
      <c r="C33" s="9">
        <f>COUNTIF('Dados de Vendas'!F2:F92,"&gt;01/01/12")</f>
        <v>65</v>
      </c>
    </row>
    <row r="34" spans="2:3" ht="15.75" thickBot="1" x14ac:dyDescent="0.3"/>
    <row r="35" spans="2:3" ht="15.75" thickBot="1" x14ac:dyDescent="0.3">
      <c r="B35" s="31" t="s">
        <v>216</v>
      </c>
      <c r="C35" s="10" t="s">
        <v>240</v>
      </c>
    </row>
    <row r="36" spans="2:3" ht="15.75" thickBot="1" x14ac:dyDescent="0.3">
      <c r="B36" s="8" t="s">
        <v>21</v>
      </c>
      <c r="C36" s="9">
        <f>COUNTIF('Dados de Vendas'!F2:F92,"1/1/12")</f>
        <v>1</v>
      </c>
    </row>
  </sheetData>
  <autoFilter ref="B16:C18"/>
  <dataConsolidate/>
  <mergeCells count="1">
    <mergeCell ref="F7:G8"/>
  </mergeCells>
  <pageMargins left="0.511811024" right="0.511811024" top="0.78740157499999996" bottom="0.78740157499999996" header="0.31496062000000002" footer="0.31496062000000002"/>
  <pageSetup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REGIÕES!$A$1:$A$4</xm:f>
          </x14:formula1>
          <xm:sqref>B18 B22</xm:sqref>
        </x14:dataValidation>
        <x14:dataValidation type="list" allowBlank="1" showInputMessage="1" showErrorMessage="1">
          <x14:formula1>
            <xm:f>REGIÕES!$H$1:$H$3</xm:f>
          </x14:formula1>
          <xm:sqref>B23 F18 F23</xm:sqref>
        </x14:dataValidation>
        <x14:dataValidation type="list" allowBlank="1" showInputMessage="1" showErrorMessage="1">
          <x14:formula1>
            <xm:f>RELACIONAMENTOS!$C$2:$C$4</xm:f>
          </x14:formula1>
          <xm:sqref>F22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H4"/>
  <sheetViews>
    <sheetView workbookViewId="0">
      <selection activeCell="B12" sqref="B12"/>
    </sheetView>
  </sheetViews>
  <sheetFormatPr defaultRowHeight="15" x14ac:dyDescent="0.25"/>
  <cols>
    <col min="1" max="1" width="14.42578125" bestFit="1" customWidth="1"/>
    <col min="2" max="2" width="22.7109375" customWidth="1"/>
    <col min="8" max="8" width="15.7109375" customWidth="1"/>
  </cols>
  <sheetData>
    <row r="1" spans="1:8" x14ac:dyDescent="0.25">
      <c r="A1" s="45" t="s">
        <v>5</v>
      </c>
      <c r="B1" s="35"/>
      <c r="H1" s="45" t="s">
        <v>6</v>
      </c>
    </row>
    <row r="2" spans="1:8" x14ac:dyDescent="0.25">
      <c r="A2" s="45" t="s">
        <v>4</v>
      </c>
      <c r="H2" s="45" t="s">
        <v>271</v>
      </c>
    </row>
    <row r="3" spans="1:8" x14ac:dyDescent="0.25">
      <c r="A3" s="45" t="s">
        <v>3</v>
      </c>
      <c r="H3" s="45" t="s">
        <v>27</v>
      </c>
    </row>
    <row r="4" spans="1:8" x14ac:dyDescent="0.25">
      <c r="A4" s="45" t="s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D5"/>
  <sheetViews>
    <sheetView workbookViewId="0">
      <selection activeCell="C2" sqref="C2"/>
    </sheetView>
  </sheetViews>
  <sheetFormatPr defaultRowHeight="15" x14ac:dyDescent="0.25"/>
  <cols>
    <col min="1" max="1" width="9.7109375" bestFit="1" customWidth="1"/>
    <col min="2" max="2" width="12.85546875" bestFit="1" customWidth="1"/>
    <col min="3" max="3" width="15.28515625" bestFit="1" customWidth="1"/>
    <col min="4" max="4" width="13.140625" bestFit="1" customWidth="1"/>
  </cols>
  <sheetData>
    <row r="1" spans="1:4" x14ac:dyDescent="0.25">
      <c r="A1" s="36" t="s">
        <v>31</v>
      </c>
      <c r="B1" s="36" t="s">
        <v>227</v>
      </c>
      <c r="C1" s="36" t="s">
        <v>228</v>
      </c>
      <c r="D1" s="36" t="s">
        <v>52</v>
      </c>
    </row>
    <row r="2" spans="1:4" x14ac:dyDescent="0.25">
      <c r="A2" s="1" t="s">
        <v>229</v>
      </c>
      <c r="B2" s="99"/>
      <c r="C2" s="16">
        <v>2</v>
      </c>
      <c r="D2" s="37">
        <f>C2*B2</f>
        <v>0</v>
      </c>
    </row>
    <row r="3" spans="1:4" x14ac:dyDescent="0.25">
      <c r="A3" s="1" t="s">
        <v>230</v>
      </c>
      <c r="B3" s="99"/>
      <c r="C3" s="16">
        <v>3</v>
      </c>
      <c r="D3" s="37">
        <f>C3*B3</f>
        <v>0</v>
      </c>
    </row>
    <row r="4" spans="1:4" x14ac:dyDescent="0.25">
      <c r="A4" s="1" t="s">
        <v>231</v>
      </c>
      <c r="B4" s="99"/>
      <c r="C4" s="16">
        <v>4</v>
      </c>
      <c r="D4" s="37">
        <f>C4*B4</f>
        <v>0</v>
      </c>
    </row>
    <row r="5" spans="1:4" x14ac:dyDescent="0.25">
      <c r="A5" s="1" t="s">
        <v>232</v>
      </c>
      <c r="B5" s="99"/>
      <c r="C5" s="16">
        <v>5</v>
      </c>
      <c r="D5" s="37">
        <f>C5*B5</f>
        <v>0</v>
      </c>
    </row>
  </sheetData>
  <sheetProtection algorithmName="SHA-512" hashValue="nHSzjIjhV96g/dq55mTd2w5pVzd5CakjLj1f9EQ5hcXHjsS6WtPs8Zlnuk3DdcCI3Pgt6JQvO5B6ZaPBewRC3Q==" saltValue="bPMtiO+Kpdk+tU1USltqgg==" spinCount="100000" sheet="1" pivotTables="0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5"/>
  <dimension ref="A1:J16"/>
  <sheetViews>
    <sheetView showGridLines="0" workbookViewId="0">
      <selection activeCell="E14" sqref="E14"/>
    </sheetView>
  </sheetViews>
  <sheetFormatPr defaultRowHeight="15" x14ac:dyDescent="0.25"/>
  <cols>
    <col min="2" max="2" width="12.5703125" customWidth="1"/>
    <col min="3" max="4" width="5.28515625" customWidth="1"/>
    <col min="5" max="6" width="12.140625" bestFit="1" customWidth="1"/>
    <col min="7" max="8" width="5.28515625" customWidth="1"/>
    <col min="10" max="10" width="12.140625" bestFit="1" customWidth="1"/>
  </cols>
  <sheetData>
    <row r="1" spans="1:10" ht="15.75" thickBot="1" x14ac:dyDescent="0.3">
      <c r="A1" s="94" t="s">
        <v>261</v>
      </c>
      <c r="B1" s="94"/>
      <c r="C1" s="94"/>
      <c r="D1" s="94"/>
      <c r="E1" s="94"/>
      <c r="F1" s="94"/>
      <c r="G1" s="94"/>
      <c r="H1" s="94"/>
      <c r="I1" s="94"/>
      <c r="J1" s="94"/>
    </row>
    <row r="2" spans="1:10" x14ac:dyDescent="0.25">
      <c r="A2" s="70" t="s">
        <v>0</v>
      </c>
      <c r="B2" s="71" t="s">
        <v>258</v>
      </c>
      <c r="E2" s="70" t="s">
        <v>0</v>
      </c>
      <c r="F2" s="71" t="s">
        <v>259</v>
      </c>
      <c r="I2" s="70" t="s">
        <v>0</v>
      </c>
      <c r="J2" s="71" t="s">
        <v>260</v>
      </c>
    </row>
    <row r="3" spans="1:10" x14ac:dyDescent="0.25">
      <c r="A3" s="66" t="s">
        <v>229</v>
      </c>
      <c r="B3" s="67">
        <v>1200</v>
      </c>
      <c r="E3" s="66" t="s">
        <v>230</v>
      </c>
      <c r="F3" s="67">
        <v>2500</v>
      </c>
      <c r="I3" s="66" t="s">
        <v>229</v>
      </c>
      <c r="J3" s="67">
        <v>3000</v>
      </c>
    </row>
    <row r="4" spans="1:10" x14ac:dyDescent="0.25">
      <c r="A4" s="66" t="s">
        <v>230</v>
      </c>
      <c r="B4" s="67">
        <v>1500</v>
      </c>
      <c r="E4" s="66" t="s">
        <v>265</v>
      </c>
      <c r="F4" s="67">
        <v>1000</v>
      </c>
      <c r="I4" s="66" t="s">
        <v>230</v>
      </c>
      <c r="J4" s="67">
        <v>3500</v>
      </c>
    </row>
    <row r="5" spans="1:10" x14ac:dyDescent="0.25">
      <c r="A5" s="66" t="s">
        <v>231</v>
      </c>
      <c r="B5" s="67">
        <v>1000</v>
      </c>
      <c r="E5" s="66" t="s">
        <v>229</v>
      </c>
      <c r="F5" s="67">
        <v>400</v>
      </c>
      <c r="I5" s="66" t="s">
        <v>266</v>
      </c>
      <c r="J5" s="67">
        <v>6000</v>
      </c>
    </row>
    <row r="6" spans="1:10" ht="15.75" thickBot="1" x14ac:dyDescent="0.3">
      <c r="A6" s="68" t="s">
        <v>232</v>
      </c>
      <c r="B6" s="69">
        <v>200</v>
      </c>
      <c r="E6" s="68" t="s">
        <v>264</v>
      </c>
      <c r="F6" s="69">
        <v>200</v>
      </c>
      <c r="I6" s="68" t="s">
        <v>264</v>
      </c>
      <c r="J6" s="69">
        <v>1000</v>
      </c>
    </row>
    <row r="7" spans="1:10" x14ac:dyDescent="0.25">
      <c r="C7" s="65"/>
    </row>
    <row r="9" spans="1:10" ht="15.75" thickBot="1" x14ac:dyDescent="0.3"/>
    <row r="10" spans="1:10" x14ac:dyDescent="0.25">
      <c r="A10" s="95" t="s">
        <v>262</v>
      </c>
      <c r="B10" s="96"/>
      <c r="C10" s="96"/>
      <c r="D10" s="96"/>
      <c r="E10" s="73" t="s">
        <v>263</v>
      </c>
    </row>
    <row r="11" spans="1:10" ht="15.75" thickBot="1" x14ac:dyDescent="0.3">
      <c r="A11" s="97" t="s">
        <v>229</v>
      </c>
      <c r="B11" s="98"/>
      <c r="C11" s="98"/>
      <c r="D11" s="98"/>
      <c r="E11" s="74">
        <f>VLOOKUP(A11,A3:B6,2,FALSE)+VLOOKUP(A11,E3:F6,2,FALSE)+VLOOKUP(A11,I3:J6,2,FALSE)</f>
        <v>4600</v>
      </c>
    </row>
    <row r="13" spans="1:10" x14ac:dyDescent="0.25">
      <c r="A13" s="100"/>
      <c r="B13" s="100"/>
      <c r="C13" s="100"/>
      <c r="D13" s="100"/>
      <c r="E13" s="101"/>
      <c r="F13" s="101"/>
    </row>
    <row r="14" spans="1:10" x14ac:dyDescent="0.25">
      <c r="A14" s="100"/>
      <c r="B14" s="100"/>
      <c r="C14" s="100"/>
      <c r="D14" s="100"/>
      <c r="E14" s="101"/>
      <c r="F14" s="101"/>
    </row>
    <row r="15" spans="1:10" x14ac:dyDescent="0.25">
      <c r="A15" s="101"/>
      <c r="B15" s="101"/>
      <c r="C15" s="101"/>
      <c r="D15" s="101"/>
      <c r="E15" s="101"/>
      <c r="F15" s="101"/>
    </row>
    <row r="16" spans="1:10" x14ac:dyDescent="0.25">
      <c r="E16" s="64"/>
    </row>
  </sheetData>
  <mergeCells count="5">
    <mergeCell ref="A1:J1"/>
    <mergeCell ref="A10:D10"/>
    <mergeCell ref="A11:D11"/>
    <mergeCell ref="A13:D13"/>
    <mergeCell ref="A14:D1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6"/>
  <dimension ref="B1:B3"/>
  <sheetViews>
    <sheetView tabSelected="1" workbookViewId="0">
      <selection activeCell="D8" sqref="D8"/>
    </sheetView>
  </sheetViews>
  <sheetFormatPr defaultRowHeight="15" x14ac:dyDescent="0.25"/>
  <cols>
    <col min="2" max="2" width="21.85546875" bestFit="1" customWidth="1"/>
  </cols>
  <sheetData>
    <row r="1" spans="2:2" x14ac:dyDescent="0.25">
      <c r="B1" t="s">
        <v>267</v>
      </c>
    </row>
    <row r="2" spans="2:2" x14ac:dyDescent="0.25">
      <c r="B2" s="72">
        <f>'AUDITORIA DE FÓRMULAS'!E11+1000</f>
        <v>5600</v>
      </c>
    </row>
    <row r="3" spans="2:2" x14ac:dyDescent="0.25">
      <c r="B3" s="102">
        <f>'AUDITORIA DE FÓRMULAS'!E11+1000</f>
        <v>5600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2</vt:i4>
      </vt:variant>
    </vt:vector>
  </HeadingPairs>
  <TitlesOfParts>
    <vt:vector size="12" baseType="lpstr">
      <vt:lpstr>Dados de Vendas</vt:lpstr>
      <vt:lpstr>Fórmulas Básicas</vt:lpstr>
      <vt:lpstr>RELACIONAMENTOS</vt:lpstr>
      <vt:lpstr>SE - IDADES</vt:lpstr>
      <vt:lpstr>PROCV 1</vt:lpstr>
      <vt:lpstr>CONTAR E SOMAR COM CONDIÇÕES</vt:lpstr>
      <vt:lpstr>REGIÕES</vt:lpstr>
      <vt:lpstr>PROTEÇÃO DE PLANILHAS</vt:lpstr>
      <vt:lpstr>AUDITORIA DE FÓRMULAS</vt:lpstr>
      <vt:lpstr>JANELA DE INSPEÇÃO</vt:lpstr>
      <vt:lpstr>'Dados de Vendas'!Area_de_impressao</vt:lpstr>
      <vt:lpstr>'Dados de Vendas'!Titulos_de_impressao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Zinha</dc:creator>
  <cp:lastModifiedBy>Aluno</cp:lastModifiedBy>
  <cp:lastPrinted>2014-05-24T14:07:27Z</cp:lastPrinted>
  <dcterms:created xsi:type="dcterms:W3CDTF">2011-05-28T16:14:41Z</dcterms:created>
  <dcterms:modified xsi:type="dcterms:W3CDTF">2026-03-21T17:21:38Z</dcterms:modified>
</cp:coreProperties>
</file>