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8"/>
  </bookViews>
  <sheets>
    <sheet name="Questão 1" sheetId="1" r:id="rId1"/>
    <sheet name="Questão 2" sheetId="2" r:id="rId2"/>
    <sheet name="Questão 3" sheetId="3" r:id="rId3"/>
    <sheet name="Questão 4" sheetId="4" r:id="rId4"/>
    <sheet name="Questão 5" sheetId="5" r:id="rId5"/>
    <sheet name="Questão 6" sheetId="6" r:id="rId6"/>
    <sheet name="Questão 7" sheetId="7" r:id="rId7"/>
    <sheet name="Questão 8" sheetId="8" r:id="rId8"/>
    <sheet name="Questão 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9" l="1"/>
  <c r="H21" i="9"/>
  <c r="G21" i="9"/>
  <c r="F21" i="9"/>
  <c r="E21" i="9"/>
  <c r="D21" i="9"/>
  <c r="C21" i="9"/>
  <c r="I11" i="9"/>
  <c r="I12" i="9"/>
  <c r="I13" i="9"/>
  <c r="I14" i="9"/>
  <c r="I15" i="9"/>
  <c r="I16" i="9"/>
  <c r="I17" i="9"/>
  <c r="I18" i="9"/>
  <c r="I19" i="9"/>
  <c r="I20" i="9"/>
  <c r="I10" i="9"/>
  <c r="H20" i="9"/>
  <c r="H19" i="9"/>
  <c r="H18" i="9"/>
  <c r="H17" i="9"/>
  <c r="H16" i="9"/>
  <c r="H15" i="9"/>
  <c r="H14" i="9"/>
  <c r="H13" i="9"/>
  <c r="H12" i="9"/>
  <c r="H11" i="9"/>
  <c r="H10" i="9"/>
  <c r="G15" i="9"/>
  <c r="G20" i="9"/>
  <c r="G19" i="9"/>
  <c r="G18" i="9"/>
  <c r="G17" i="9"/>
  <c r="G16" i="9"/>
  <c r="G14" i="9"/>
  <c r="G13" i="9"/>
  <c r="G12" i="9"/>
  <c r="G11" i="9"/>
  <c r="G10" i="9"/>
  <c r="F11" i="9"/>
  <c r="F12" i="9"/>
  <c r="F13" i="9"/>
  <c r="F14" i="9"/>
  <c r="F15" i="9"/>
  <c r="F16" i="9"/>
  <c r="F17" i="9"/>
  <c r="F18" i="9"/>
  <c r="F19" i="9"/>
  <c r="F20" i="9"/>
  <c r="F10" i="9"/>
  <c r="K8" i="7"/>
  <c r="E10" i="7"/>
  <c r="E9" i="7"/>
  <c r="E8" i="7"/>
  <c r="E7" i="7"/>
  <c r="E6" i="7"/>
  <c r="E5" i="7"/>
  <c r="D17" i="6"/>
  <c r="F16" i="6"/>
  <c r="F17" i="6" s="1"/>
  <c r="F15" i="6"/>
  <c r="E17" i="6"/>
  <c r="C17" i="6"/>
  <c r="G18" i="6"/>
  <c r="E16" i="6"/>
  <c r="D16" i="6"/>
  <c r="C16" i="6"/>
  <c r="E15" i="6"/>
  <c r="D15" i="6"/>
  <c r="C15" i="6"/>
  <c r="G13" i="6"/>
  <c r="G12" i="6"/>
  <c r="G11" i="6"/>
  <c r="G10" i="6"/>
  <c r="G9" i="6"/>
  <c r="G8" i="6"/>
  <c r="G5" i="6"/>
  <c r="E4" i="5" l="1"/>
  <c r="E5" i="5"/>
  <c r="E6" i="5"/>
  <c r="E7" i="5"/>
  <c r="E8" i="5"/>
  <c r="E9" i="5"/>
  <c r="E10" i="5"/>
  <c r="E3" i="5"/>
  <c r="D4" i="5"/>
  <c r="D5" i="5"/>
  <c r="D6" i="5"/>
  <c r="D7" i="5"/>
  <c r="D8" i="5"/>
  <c r="D9" i="5"/>
  <c r="D10" i="5"/>
  <c r="D3" i="5"/>
  <c r="F11" i="4"/>
  <c r="F10" i="4"/>
  <c r="F9" i="4"/>
  <c r="F7" i="4"/>
  <c r="F6" i="4"/>
  <c r="F8" i="4"/>
  <c r="F5" i="4"/>
  <c r="E6" i="4"/>
  <c r="E7" i="4"/>
  <c r="E8" i="4"/>
  <c r="E9" i="4"/>
  <c r="E10" i="4"/>
  <c r="E11" i="4"/>
  <c r="E5" i="4"/>
  <c r="I8" i="3"/>
  <c r="I9" i="3"/>
  <c r="I10" i="3"/>
  <c r="I11" i="3"/>
  <c r="I12" i="3"/>
  <c r="I13" i="3"/>
  <c r="I14" i="3"/>
  <c r="I7" i="3"/>
  <c r="H14" i="3"/>
  <c r="H13" i="3"/>
  <c r="H12" i="3"/>
  <c r="H11" i="3"/>
  <c r="H10" i="3"/>
  <c r="H9" i="3"/>
  <c r="H8" i="3"/>
  <c r="H7" i="3"/>
  <c r="G14" i="3" l="1"/>
  <c r="G13" i="3"/>
  <c r="G12" i="3"/>
  <c r="G11" i="3"/>
  <c r="G10" i="3"/>
  <c r="G9" i="3"/>
  <c r="G8" i="3"/>
  <c r="G7" i="3"/>
  <c r="F20" i="1" l="1"/>
  <c r="E20" i="1"/>
  <c r="D20" i="1"/>
  <c r="F11" i="1"/>
  <c r="E11" i="1"/>
  <c r="D11" i="1"/>
  <c r="H19" i="2"/>
  <c r="G19" i="2"/>
  <c r="F19" i="2"/>
  <c r="E19" i="2"/>
  <c r="D19" i="2"/>
  <c r="C19" i="2"/>
  <c r="H17" i="2"/>
  <c r="G17" i="2"/>
  <c r="F17" i="2"/>
  <c r="E17" i="2"/>
  <c r="D17" i="2"/>
  <c r="C17" i="2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J20" i="1" s="1"/>
  <c r="I14" i="1"/>
  <c r="H14" i="1"/>
  <c r="G19" i="1"/>
  <c r="G18" i="1"/>
  <c r="G17" i="1"/>
  <c r="G16" i="1"/>
  <c r="G15" i="1"/>
  <c r="G14" i="1"/>
  <c r="G20" i="1" s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5" i="1"/>
  <c r="J11" i="1" s="1"/>
  <c r="I5" i="1"/>
  <c r="H5" i="1"/>
  <c r="H6" i="1"/>
  <c r="I6" i="1"/>
  <c r="J6" i="1"/>
  <c r="G6" i="1"/>
  <c r="G5" i="1"/>
  <c r="G11" i="1" s="1"/>
  <c r="D22" i="1" s="1"/>
</calcChain>
</file>

<file path=xl/sharedStrings.xml><?xml version="1.0" encoding="utf-8"?>
<sst xmlns="http://schemas.openxmlformats.org/spreadsheetml/2006/main" count="251" uniqueCount="205">
  <si>
    <t>Empresa Nacional S/A</t>
  </si>
  <si>
    <t>Código</t>
  </si>
  <si>
    <t>Produto</t>
  </si>
  <si>
    <t>Jan</t>
  </si>
  <si>
    <t>Fev</t>
  </si>
  <si>
    <t>Mar</t>
  </si>
  <si>
    <t>Máximo</t>
  </si>
  <si>
    <t>Mínimo</t>
  </si>
  <si>
    <t>Média</t>
  </si>
  <si>
    <t>Porca</t>
  </si>
  <si>
    <t>Parafusa</t>
  </si>
  <si>
    <t>Arruela</t>
  </si>
  <si>
    <t>Prego</t>
  </si>
  <si>
    <t>Alicate</t>
  </si>
  <si>
    <t>Martelo</t>
  </si>
  <si>
    <t>Total 1º Trim.</t>
  </si>
  <si>
    <t>Totais</t>
  </si>
  <si>
    <t>Abr</t>
  </si>
  <si>
    <t>Mai</t>
  </si>
  <si>
    <t>Jun</t>
  </si>
  <si>
    <t>Total 2º Trim.</t>
  </si>
  <si>
    <t>Parafuso</t>
  </si>
  <si>
    <t>Total do Semestre</t>
  </si>
  <si>
    <t>CONTAS A PAGAR</t>
  </si>
  <si>
    <t>JANEIRO</t>
  </si>
  <si>
    <t>FEVEREIRO</t>
  </si>
  <si>
    <t>MARÇO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</si>
  <si>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</si>
  <si>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</si>
  <si>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</si>
  <si>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</si>
  <si>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</si>
  <si>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</si>
  <si>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</si>
  <si>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</si>
  <si>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</si>
  <si>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</si>
  <si>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</si>
  <si>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</si>
  <si>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</si>
  <si>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</si>
  <si>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</si>
  <si>
    <t>Araras Informática - Hardware e Software - Rua São Francisco de Assis, 123 - Araras SP</t>
  </si>
  <si>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</si>
  <si>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</si>
  <si>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</si>
  <si>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</si>
  <si>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</si>
  <si>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</si>
  <si>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</si>
  <si>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</si>
  <si>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</si>
  <si>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</si>
  <si>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</si>
  <si>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</si>
  <si>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</si>
  <si>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</si>
  <si>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</si>
  <si>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</si>
  <si>
    <t>Valor do Dólar</t>
  </si>
  <si>
    <t>Papelaria Papel Branco</t>
  </si>
  <si>
    <t>Produtos</t>
  </si>
  <si>
    <t>Qtde</t>
  </si>
  <si>
    <t>Preço Unit.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</si>
  <si>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</si>
  <si>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</si>
  <si>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</si>
  <si>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</si>
  <si>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</si>
  <si>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</si>
  <si>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</si>
  <si>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</si>
  <si>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</si>
  <si>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Nome</t>
  </si>
  <si>
    <t>Salário</t>
  </si>
  <si>
    <t>Aumento</t>
  </si>
  <si>
    <t>Novo Salário</t>
  </si>
  <si>
    <t>João dos Santos</t>
  </si>
  <si>
    <t>Maria da Silva</t>
  </si>
  <si>
    <t>Manoel das flores</t>
  </si>
  <si>
    <t>Lambarildo Peixe</t>
  </si>
  <si>
    <t>Sebastião Souza</t>
  </si>
  <si>
    <t>Ana Flávia Silveira</t>
  </si>
  <si>
    <t>Silvia Helena Santos</t>
  </si>
  <si>
    <t>Alberto Roberto</t>
  </si>
  <si>
    <t>Até 1000,00</t>
  </si>
  <si>
    <t>mais 1000,00</t>
  </si>
  <si>
    <t>Projeção para o ano de 2003</t>
  </si>
  <si>
    <t>Receita Bruta</t>
  </si>
  <si>
    <t>Jan-Mar</t>
  </si>
  <si>
    <t>Abr-Jun</t>
  </si>
  <si>
    <t>Jul-Set</t>
  </si>
  <si>
    <t>Out-Dez</t>
  </si>
  <si>
    <t>Total do Ano</t>
  </si>
  <si>
    <t>Despesas Líquida</t>
  </si>
  <si>
    <t>Salários</t>
  </si>
  <si>
    <t>Juros</t>
  </si>
  <si>
    <t>Aluguel</t>
  </si>
  <si>
    <t>Propaganda</t>
  </si>
  <si>
    <t>Suprimentos</t>
  </si>
  <si>
    <t>Diversos</t>
  </si>
  <si>
    <t>Total do Trim.</t>
  </si>
  <si>
    <t>Receita Líquida</t>
  </si>
  <si>
    <t>Situação</t>
  </si>
  <si>
    <t>Valor Acumulado do ano de despesas</t>
  </si>
  <si>
    <t>Controle de Vendas</t>
  </si>
  <si>
    <t>A</t>
  </si>
  <si>
    <t>B</t>
  </si>
  <si>
    <t>C</t>
  </si>
  <si>
    <t>D</t>
  </si>
  <si>
    <t>E</t>
  </si>
  <si>
    <t>F</t>
  </si>
  <si>
    <t xml:space="preserve">Fev </t>
  </si>
  <si>
    <t>Resultado</t>
  </si>
  <si>
    <t>Controle de Idade</t>
  </si>
  <si>
    <t>Idade do Candidato</t>
  </si>
  <si>
    <t>Idade Mínima</t>
  </si>
  <si>
    <t>Idade Máxima</t>
  </si>
  <si>
    <t>Resultado:</t>
  </si>
  <si>
    <t>Endereço</t>
  </si>
  <si>
    <t>Bairro</t>
  </si>
  <si>
    <t>Cidade</t>
  </si>
  <si>
    <t>Estado</t>
  </si>
  <si>
    <t>Ana</t>
  </si>
  <si>
    <t>Rodovia Anhanguera, Km 180</t>
  </si>
  <si>
    <t>Centro</t>
  </si>
  <si>
    <t>Leme</t>
  </si>
  <si>
    <t>SP</t>
  </si>
  <si>
    <t>R. Antônio de Castro, 362</t>
  </si>
  <si>
    <t>São Benedito</t>
  </si>
  <si>
    <t>Araras</t>
  </si>
  <si>
    <t>Érica</t>
  </si>
  <si>
    <t>R. Tiradentes, 123</t>
  </si>
  <si>
    <t>Salvador</t>
  </si>
  <si>
    <t>BA</t>
  </si>
  <si>
    <t>Fernanda</t>
  </si>
  <si>
    <t>Av. Orozimbo Maia, 987</t>
  </si>
  <si>
    <t>Jd. Nova Campinas</t>
  </si>
  <si>
    <t>Campinas</t>
  </si>
  <si>
    <t>Rodovia Rio/São Paulo, Km 77</t>
  </si>
  <si>
    <t>Praia Grande</t>
  </si>
  <si>
    <t>Ubatuba</t>
  </si>
  <si>
    <t>R. Júlio Mesquita, 66</t>
  </si>
  <si>
    <t>Recife</t>
  </si>
  <si>
    <t>PE</t>
  </si>
  <si>
    <t>Katiane</t>
  </si>
  <si>
    <t>R. 5, 78</t>
  </si>
  <si>
    <t>Jd. Europa</t>
  </si>
  <si>
    <t>Rio Claro</t>
  </si>
  <si>
    <t>Lilian</t>
  </si>
  <si>
    <t>R. Lambarildo Peixe, 812</t>
  </si>
  <si>
    <t>Vila Tubarão</t>
  </si>
  <si>
    <t>Ribeirão Preto</t>
  </si>
  <si>
    <t>Lucimara</t>
  </si>
  <si>
    <t>Av. dos Jequitibas, 11</t>
  </si>
  <si>
    <t>Jd. Paulista</t>
  </si>
  <si>
    <t>Florianópolis</t>
  </si>
  <si>
    <t>SC</t>
  </si>
  <si>
    <t>Av. Ipiranga, 568</t>
  </si>
  <si>
    <t>Ibirapuera</t>
  </si>
  <si>
    <t>Manaus</t>
  </si>
  <si>
    <t>AM</t>
  </si>
  <si>
    <t>Pedro</t>
  </si>
  <si>
    <t>R. Sergipe, 765</t>
  </si>
  <si>
    <t>Botafogo</t>
  </si>
  <si>
    <t>Roberto</t>
  </si>
  <si>
    <t>Av. Limeira 98</t>
  </si>
  <si>
    <t>Belvedere</t>
  </si>
  <si>
    <t>Rubens</t>
  </si>
  <si>
    <t>Al. Dos Laranjais, 99</t>
  </si>
  <si>
    <t>Rio de Janeiro</t>
  </si>
  <si>
    <t>RJ</t>
  </si>
  <si>
    <t>Sônia</t>
  </si>
  <si>
    <t>R. das Quaresmeiras, 810</t>
  </si>
  <si>
    <t>Vila Cláudia</t>
  </si>
  <si>
    <t>Porto Alegre</t>
  </si>
  <si>
    <t>RS</t>
  </si>
  <si>
    <t>Tatiane</t>
  </si>
  <si>
    <t>R. Minas Gerais, 67</t>
  </si>
  <si>
    <t>Parque Industrial</t>
  </si>
  <si>
    <t>Poços de Caldas</t>
  </si>
  <si>
    <t>MG</t>
  </si>
  <si>
    <t>Tabela de Preços</t>
  </si>
  <si>
    <t>Porc. De Lucro</t>
  </si>
  <si>
    <t>Valor do Dólar:</t>
  </si>
  <si>
    <t>Empresa Papelaria Livro Caro</t>
  </si>
  <si>
    <t>Araras/SP</t>
  </si>
  <si>
    <t>R. Tiradentes 1234</t>
  </si>
  <si>
    <t>Reais</t>
  </si>
  <si>
    <t>Dólar</t>
  </si>
  <si>
    <t>Estoque</t>
  </si>
  <si>
    <t>Custo</t>
  </si>
  <si>
    <t>Venda</t>
  </si>
  <si>
    <t>Borracha</t>
  </si>
  <si>
    <t>Caderno 100 fls</t>
  </si>
  <si>
    <t>Caderno 200 fls</t>
  </si>
  <si>
    <t>Lapiseira</t>
  </si>
  <si>
    <t>Régua 15 cm</t>
  </si>
  <si>
    <t>Régua 30 cm</t>
  </si>
  <si>
    <t>Giz de Cera</t>
  </si>
  <si>
    <t>Cola</t>
  </si>
  <si>
    <t>Compasso</t>
  </si>
  <si>
    <t>Total (R$)</t>
  </si>
  <si>
    <t>Total ($)</t>
  </si>
  <si>
    <t>Custo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</si>
</sst>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gradientFill degree="90">
        <stop position="0">
          <color theme="7" tint="0.80001220740379042"/>
        </stop>
        <stop position="1">
          <color theme="7" tint="0.80001220740379042"/>
        </stop>
      </gradient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4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44" fontId="0" fillId="0" borderId="1" xfId="0" applyNumberForma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3" borderId="1" xfId="0" applyFill="1" applyBorder="1"/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0" fontId="0" fillId="0" borderId="1" xfId="2" applyNumberFormat="1" applyFont="1" applyBorder="1"/>
    <xf numFmtId="0" fontId="0" fillId="0" borderId="2" xfId="0" applyBorder="1"/>
    <xf numFmtId="0" fontId="0" fillId="0" borderId="0" xfId="0" applyAlignment="1">
      <alignment horizontal="right"/>
    </xf>
    <xf numFmtId="44" fontId="0" fillId="0" borderId="1" xfId="1" applyFont="1" applyBorder="1" applyAlignment="1">
      <alignment horizontal="right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22" fontId="0" fillId="0" borderId="0" xfId="0" applyNumberFormat="1" applyBorder="1"/>
    <xf numFmtId="0" fontId="0" fillId="0" borderId="0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/>
    <xf numFmtId="9" fontId="0" fillId="0" borderId="1" xfId="2" applyFont="1" applyBorder="1"/>
    <xf numFmtId="9" fontId="0" fillId="0" borderId="1" xfId="2" applyNumberFormat="1" applyFont="1" applyBorder="1"/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4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3" applyFont="1" applyBorder="1"/>
    <xf numFmtId="0" fontId="0" fillId="0" borderId="3" xfId="0" applyBorder="1"/>
    <xf numFmtId="0" fontId="0" fillId="0" borderId="1" xfId="0" applyBorder="1" applyAlignment="1">
      <alignment horizontal="left"/>
    </xf>
    <xf numFmtId="43" fontId="0" fillId="0" borderId="1" xfId="0" applyNumberFormat="1" applyBorder="1"/>
    <xf numFmtId="0" fontId="0" fillId="0" borderId="5" xfId="0" applyBorder="1"/>
    <xf numFmtId="43" fontId="0" fillId="0" borderId="0" xfId="0" applyNumberFormat="1" applyBorder="1"/>
    <xf numFmtId="43" fontId="0" fillId="0" borderId="1" xfId="0" applyNumberFormat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8" xfId="0" applyBorder="1"/>
    <xf numFmtId="0" fontId="0" fillId="0" borderId="14" xfId="0" applyBorder="1"/>
    <xf numFmtId="43" fontId="0" fillId="0" borderId="0" xfId="3" applyFont="1" applyBorder="1"/>
    <xf numFmtId="43" fontId="0" fillId="0" borderId="0" xfId="3" applyFont="1" applyFill="1" applyBorder="1"/>
    <xf numFmtId="43" fontId="0" fillId="0" borderId="8" xfId="3" applyFont="1" applyBorder="1"/>
    <xf numFmtId="0" fontId="0" fillId="4" borderId="1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/>
    <xf numFmtId="0" fontId="2" fillId="0" borderId="11" xfId="0" applyFont="1" applyBorder="1"/>
    <xf numFmtId="0" fontId="2" fillId="0" borderId="13" xfId="0" applyFont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1" xfId="0" applyFont="1" applyFill="1" applyBorder="1"/>
    <xf numFmtId="0" fontId="2" fillId="0" borderId="6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10" fontId="2" fillId="0" borderId="1" xfId="0" applyNumberFormat="1" applyFont="1" applyBorder="1" applyAlignment="1"/>
    <xf numFmtId="0" fontId="2" fillId="0" borderId="4" xfId="0" applyFont="1" applyBorder="1" applyAlignment="1"/>
    <xf numFmtId="10" fontId="0" fillId="0" borderId="0" xfId="0" applyNumberFormat="1" applyBorder="1"/>
    <xf numFmtId="2" fontId="0" fillId="0" borderId="1" xfId="0" applyNumberFormat="1" applyBorder="1"/>
    <xf numFmtId="2" fontId="0" fillId="0" borderId="3" xfId="0" applyNumberFormat="1" applyBorder="1"/>
    <xf numFmtId="0" fontId="2" fillId="0" borderId="16" xfId="0" applyFont="1" applyBorder="1" applyAlignment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5" xfId="0" applyBorder="1" applyAlignment="1">
      <alignment horizontal="center"/>
    </xf>
    <xf numFmtId="44" fontId="0" fillId="0" borderId="5" xfId="1" applyFont="1" applyBorder="1"/>
    <xf numFmtId="2" fontId="0" fillId="0" borderId="5" xfId="0" applyNumberFormat="1" applyBorder="1"/>
    <xf numFmtId="165" fontId="0" fillId="0" borderId="5" xfId="0" applyNumberFormat="1" applyBorder="1"/>
    <xf numFmtId="2" fontId="0" fillId="0" borderId="15" xfId="0" applyNumberFormat="1" applyBorder="1"/>
    <xf numFmtId="44" fontId="0" fillId="0" borderId="15" xfId="0" applyNumberFormat="1" applyBorder="1"/>
    <xf numFmtId="165" fontId="0" fillId="0" borderId="15" xfId="0" applyNumberFormat="1" applyBorder="1"/>
    <xf numFmtId="44" fontId="0" fillId="0" borderId="3" xfId="1" applyFont="1" applyBorder="1"/>
    <xf numFmtId="44" fontId="0" fillId="0" borderId="15" xfId="1" applyFont="1" applyBorder="1"/>
    <xf numFmtId="165" fontId="0" fillId="0" borderId="18" xfId="0" applyNumberFormat="1" applyBorder="1"/>
    <xf numFmtId="165" fontId="0" fillId="0" borderId="23" xfId="0" applyNumberFormat="1" applyBorder="1"/>
    <xf numFmtId="165" fontId="0" fillId="0" borderId="17" xfId="0" applyNumberFormat="1" applyBorder="1"/>
    <xf numFmtId="165" fontId="0" fillId="0" borderId="22" xfId="0" applyNumberFormat="1" applyBorder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workbookViewId="0">
      <selection activeCell="D22" sqref="D22"/>
    </sheetView>
  </sheetViews>
  <sheetFormatPr defaultRowHeight="15" x14ac:dyDescent="0.25"/>
  <cols>
    <col min="2" max="2" width="12.5703125" style="1" customWidth="1"/>
    <col min="3" max="3" width="15.85546875" bestFit="1" customWidth="1"/>
    <col min="4" max="4" width="11.7109375" customWidth="1"/>
    <col min="5" max="5" width="10.28515625" customWidth="1"/>
    <col min="6" max="6" width="10.42578125" customWidth="1"/>
    <col min="7" max="7" width="14.85546875" customWidth="1"/>
  </cols>
  <sheetData>
    <row r="2" spans="2:10" x14ac:dyDescent="0.25">
      <c r="B2" s="31" t="s">
        <v>0</v>
      </c>
      <c r="C2" s="31"/>
      <c r="D2" s="31"/>
      <c r="E2" s="31"/>
      <c r="F2" s="31"/>
      <c r="G2" s="31"/>
      <c r="H2" s="17"/>
      <c r="I2" s="17"/>
      <c r="J2" s="17"/>
    </row>
    <row r="3" spans="2:10" x14ac:dyDescent="0.25">
      <c r="B3" s="18"/>
      <c r="C3" s="19"/>
      <c r="D3" s="17"/>
      <c r="E3" s="17"/>
      <c r="F3" s="17"/>
      <c r="G3" s="17"/>
      <c r="H3" s="17"/>
      <c r="I3" s="17"/>
      <c r="J3" s="17"/>
    </row>
    <row r="4" spans="2:10" x14ac:dyDescent="0.25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15</v>
      </c>
      <c r="H4" s="7" t="s">
        <v>6</v>
      </c>
      <c r="I4" s="7" t="s">
        <v>7</v>
      </c>
      <c r="J4" s="7" t="s">
        <v>8</v>
      </c>
    </row>
    <row r="5" spans="2:10" x14ac:dyDescent="0.25">
      <c r="B5" s="7">
        <v>1</v>
      </c>
      <c r="C5" s="2" t="s">
        <v>9</v>
      </c>
      <c r="D5" s="3">
        <v>4500</v>
      </c>
      <c r="E5" s="3">
        <v>5040</v>
      </c>
      <c r="F5" s="3">
        <v>5696</v>
      </c>
      <c r="G5" s="3">
        <f t="shared" ref="G5:G10" si="0">D5+E5+F5</f>
        <v>15236</v>
      </c>
      <c r="H5" s="3">
        <f t="shared" ref="H5:H10" si="1">MAX(D5:F5)</f>
        <v>5696</v>
      </c>
      <c r="I5" s="3">
        <f t="shared" ref="I5:I10" si="2">MIN(D5:F5)</f>
        <v>4500</v>
      </c>
      <c r="J5" s="3">
        <f t="shared" ref="J5:J10" si="3">AVERAGE(D5:F5)</f>
        <v>5078.666666666667</v>
      </c>
    </row>
    <row r="6" spans="2:10" x14ac:dyDescent="0.25">
      <c r="B6" s="7">
        <v>2</v>
      </c>
      <c r="C6" s="2" t="s">
        <v>10</v>
      </c>
      <c r="D6" s="3">
        <v>6250</v>
      </c>
      <c r="E6" s="3">
        <v>7000</v>
      </c>
      <c r="F6" s="3">
        <v>7910</v>
      </c>
      <c r="G6" s="3">
        <f t="shared" si="0"/>
        <v>21160</v>
      </c>
      <c r="H6" s="3">
        <f t="shared" si="1"/>
        <v>7910</v>
      </c>
      <c r="I6" s="3">
        <f t="shared" si="2"/>
        <v>6250</v>
      </c>
      <c r="J6" s="3">
        <f t="shared" si="3"/>
        <v>7053.333333333333</v>
      </c>
    </row>
    <row r="7" spans="2:10" x14ac:dyDescent="0.25">
      <c r="B7" s="7">
        <v>3</v>
      </c>
      <c r="C7" s="2" t="s">
        <v>11</v>
      </c>
      <c r="D7" s="3">
        <v>3300</v>
      </c>
      <c r="E7" s="3">
        <v>3696</v>
      </c>
      <c r="F7" s="3">
        <v>4176</v>
      </c>
      <c r="G7" s="3">
        <f t="shared" si="0"/>
        <v>11172</v>
      </c>
      <c r="H7" s="3">
        <f t="shared" si="1"/>
        <v>4176</v>
      </c>
      <c r="I7" s="3">
        <f t="shared" si="2"/>
        <v>3300</v>
      </c>
      <c r="J7" s="3">
        <f t="shared" si="3"/>
        <v>3724</v>
      </c>
    </row>
    <row r="8" spans="2:10" x14ac:dyDescent="0.25">
      <c r="B8" s="7">
        <v>4</v>
      </c>
      <c r="C8" s="2" t="s">
        <v>12</v>
      </c>
      <c r="D8" s="3">
        <v>8000</v>
      </c>
      <c r="E8" s="3">
        <v>8690</v>
      </c>
      <c r="F8" s="3">
        <v>10125</v>
      </c>
      <c r="G8" s="3">
        <f t="shared" si="0"/>
        <v>26815</v>
      </c>
      <c r="H8" s="3">
        <f t="shared" si="1"/>
        <v>10125</v>
      </c>
      <c r="I8" s="3">
        <f t="shared" si="2"/>
        <v>8000</v>
      </c>
      <c r="J8" s="3">
        <f t="shared" si="3"/>
        <v>8938.3333333333339</v>
      </c>
    </row>
    <row r="9" spans="2:10" x14ac:dyDescent="0.25">
      <c r="B9" s="7">
        <v>5</v>
      </c>
      <c r="C9" s="2" t="s">
        <v>13</v>
      </c>
      <c r="D9" s="3">
        <v>4557</v>
      </c>
      <c r="E9" s="3">
        <v>5104</v>
      </c>
      <c r="F9" s="3">
        <v>5676</v>
      </c>
      <c r="G9" s="3">
        <f t="shared" si="0"/>
        <v>15337</v>
      </c>
      <c r="H9" s="3">
        <f t="shared" si="1"/>
        <v>5676</v>
      </c>
      <c r="I9" s="3">
        <f t="shared" si="2"/>
        <v>4557</v>
      </c>
      <c r="J9" s="3">
        <f t="shared" si="3"/>
        <v>5112.333333333333</v>
      </c>
    </row>
    <row r="10" spans="2:10" x14ac:dyDescent="0.25">
      <c r="B10" s="7">
        <v>6</v>
      </c>
      <c r="C10" s="2" t="s">
        <v>14</v>
      </c>
      <c r="D10" s="3">
        <v>3260</v>
      </c>
      <c r="E10" s="3">
        <v>3640</v>
      </c>
      <c r="F10" s="3">
        <v>4113</v>
      </c>
      <c r="G10" s="3">
        <f t="shared" si="0"/>
        <v>11013</v>
      </c>
      <c r="H10" s="3">
        <f t="shared" si="1"/>
        <v>4113</v>
      </c>
      <c r="I10" s="3">
        <f t="shared" si="2"/>
        <v>3260</v>
      </c>
      <c r="J10" s="3">
        <f t="shared" si="3"/>
        <v>3671</v>
      </c>
    </row>
    <row r="11" spans="2:10" x14ac:dyDescent="0.25">
      <c r="B11" s="7" t="s">
        <v>16</v>
      </c>
      <c r="C11" s="2"/>
      <c r="D11" s="3">
        <f>SUM(D5:D10)</f>
        <v>29867</v>
      </c>
      <c r="E11" s="3">
        <f>SUM(E5:E10)</f>
        <v>33170</v>
      </c>
      <c r="F11" s="3">
        <f>SUM(F5:F10)</f>
        <v>37696</v>
      </c>
      <c r="G11" s="3">
        <f>SUM(G5:G10)</f>
        <v>100733</v>
      </c>
      <c r="H11" s="2"/>
      <c r="I11" s="2"/>
      <c r="J11" s="3">
        <f>AVERAGE(J5:J10)</f>
        <v>5596.2777777777783</v>
      </c>
    </row>
    <row r="12" spans="2:10" x14ac:dyDescent="0.25">
      <c r="B12" s="20"/>
      <c r="C12" s="17"/>
      <c r="D12" s="17"/>
      <c r="E12" s="17"/>
      <c r="F12" s="17"/>
      <c r="G12" s="17"/>
      <c r="H12" s="17"/>
      <c r="I12" s="17"/>
      <c r="J12" s="17"/>
    </row>
    <row r="13" spans="2:10" x14ac:dyDescent="0.25">
      <c r="B13" s="7" t="s">
        <v>1</v>
      </c>
      <c r="C13" s="8" t="s">
        <v>2</v>
      </c>
      <c r="D13" s="8" t="s">
        <v>17</v>
      </c>
      <c r="E13" s="8" t="s">
        <v>18</v>
      </c>
      <c r="F13" s="8" t="s">
        <v>19</v>
      </c>
      <c r="G13" s="8" t="s">
        <v>20</v>
      </c>
      <c r="H13" s="8" t="s">
        <v>6</v>
      </c>
      <c r="I13" s="8" t="s">
        <v>7</v>
      </c>
      <c r="J13" s="8" t="s">
        <v>8</v>
      </c>
    </row>
    <row r="14" spans="2:10" x14ac:dyDescent="0.25">
      <c r="B14" s="7">
        <v>1</v>
      </c>
      <c r="C14" s="2" t="s">
        <v>9</v>
      </c>
      <c r="D14" s="3">
        <v>6265</v>
      </c>
      <c r="E14" s="3">
        <v>6954</v>
      </c>
      <c r="F14" s="3">
        <v>7858</v>
      </c>
      <c r="G14" s="3">
        <f t="shared" ref="G14:G19" si="4">D14+E14+F14</f>
        <v>21077</v>
      </c>
      <c r="H14" s="3">
        <f t="shared" ref="H14:H19" si="5">MAX(D14:F14)</f>
        <v>7858</v>
      </c>
      <c r="I14" s="3">
        <f t="shared" ref="I14:I19" si="6">MIN(D14:F14)</f>
        <v>6265</v>
      </c>
      <c r="J14" s="3">
        <f t="shared" ref="J14:J19" si="7">AVERAGE(D14:F14)</f>
        <v>7025.666666666667</v>
      </c>
    </row>
    <row r="15" spans="2:10" x14ac:dyDescent="0.25">
      <c r="B15" s="7">
        <v>2</v>
      </c>
      <c r="C15" s="2" t="s">
        <v>21</v>
      </c>
      <c r="D15" s="3">
        <v>8701</v>
      </c>
      <c r="E15" s="3">
        <v>9658</v>
      </c>
      <c r="F15" s="3">
        <v>10197</v>
      </c>
      <c r="G15" s="3">
        <f t="shared" si="4"/>
        <v>28556</v>
      </c>
      <c r="H15" s="3">
        <f t="shared" si="5"/>
        <v>10197</v>
      </c>
      <c r="I15" s="3">
        <f t="shared" si="6"/>
        <v>8701</v>
      </c>
      <c r="J15" s="3">
        <f t="shared" si="7"/>
        <v>9518.6666666666661</v>
      </c>
    </row>
    <row r="16" spans="2:10" x14ac:dyDescent="0.25">
      <c r="B16" s="7">
        <v>3</v>
      </c>
      <c r="C16" s="2" t="s">
        <v>11</v>
      </c>
      <c r="D16" s="3">
        <v>4569</v>
      </c>
      <c r="E16" s="3">
        <v>5099</v>
      </c>
      <c r="F16" s="3">
        <v>5769</v>
      </c>
      <c r="G16" s="3">
        <f t="shared" si="4"/>
        <v>15437</v>
      </c>
      <c r="H16" s="3">
        <f t="shared" si="5"/>
        <v>5769</v>
      </c>
      <c r="I16" s="3">
        <f t="shared" si="6"/>
        <v>4569</v>
      </c>
      <c r="J16" s="3">
        <f t="shared" si="7"/>
        <v>5145.666666666667</v>
      </c>
    </row>
    <row r="17" spans="2:10" x14ac:dyDescent="0.25">
      <c r="B17" s="7">
        <v>4</v>
      </c>
      <c r="C17" s="2" t="s">
        <v>12</v>
      </c>
      <c r="D17" s="3">
        <v>12341</v>
      </c>
      <c r="E17" s="3">
        <v>12365</v>
      </c>
      <c r="F17" s="3">
        <v>13969</v>
      </c>
      <c r="G17" s="3">
        <f t="shared" si="4"/>
        <v>38675</v>
      </c>
      <c r="H17" s="3">
        <f t="shared" si="5"/>
        <v>13969</v>
      </c>
      <c r="I17" s="3">
        <f t="shared" si="6"/>
        <v>12341</v>
      </c>
      <c r="J17" s="3">
        <f t="shared" si="7"/>
        <v>12891.666666666666</v>
      </c>
    </row>
    <row r="18" spans="2:10" x14ac:dyDescent="0.25">
      <c r="B18" s="7">
        <v>5</v>
      </c>
      <c r="C18" s="2" t="s">
        <v>13</v>
      </c>
      <c r="D18" s="3">
        <v>6344</v>
      </c>
      <c r="E18" s="3">
        <v>7042</v>
      </c>
      <c r="F18" s="3">
        <v>7957</v>
      </c>
      <c r="G18" s="3">
        <f t="shared" si="4"/>
        <v>21343</v>
      </c>
      <c r="H18" s="3">
        <f t="shared" si="5"/>
        <v>7957</v>
      </c>
      <c r="I18" s="3">
        <f t="shared" si="6"/>
        <v>6344</v>
      </c>
      <c r="J18" s="3">
        <f t="shared" si="7"/>
        <v>7114.333333333333</v>
      </c>
    </row>
    <row r="19" spans="2:10" x14ac:dyDescent="0.25">
      <c r="B19" s="7">
        <v>6</v>
      </c>
      <c r="C19" s="2" t="s">
        <v>14</v>
      </c>
      <c r="D19" s="3">
        <v>4525</v>
      </c>
      <c r="E19" s="3">
        <v>5022</v>
      </c>
      <c r="F19" s="3">
        <v>5671</v>
      </c>
      <c r="G19" s="3">
        <f t="shared" si="4"/>
        <v>15218</v>
      </c>
      <c r="H19" s="3">
        <f t="shared" si="5"/>
        <v>5671</v>
      </c>
      <c r="I19" s="3">
        <f t="shared" si="6"/>
        <v>4525</v>
      </c>
      <c r="J19" s="3">
        <f t="shared" si="7"/>
        <v>5072.666666666667</v>
      </c>
    </row>
    <row r="20" spans="2:10" x14ac:dyDescent="0.25">
      <c r="B20" s="7" t="s">
        <v>16</v>
      </c>
      <c r="C20" s="2"/>
      <c r="D20" s="3">
        <f>SUM(D14:D19)</f>
        <v>42745</v>
      </c>
      <c r="E20" s="3">
        <f>SUM(E14:E19)</f>
        <v>46140</v>
      </c>
      <c r="F20" s="3">
        <f>SUM(F14:F19)</f>
        <v>51421</v>
      </c>
      <c r="G20" s="3">
        <f>SUM(G14:G19)</f>
        <v>140306</v>
      </c>
      <c r="H20" s="2"/>
      <c r="I20" s="2"/>
      <c r="J20" s="3">
        <f>AVERAGE(J14:J19)</f>
        <v>7794.7777777777774</v>
      </c>
    </row>
    <row r="21" spans="2:10" x14ac:dyDescent="0.25">
      <c r="B21" s="20"/>
      <c r="C21" s="17"/>
      <c r="D21" s="17"/>
      <c r="E21" s="17"/>
      <c r="F21" s="17"/>
      <c r="G21" s="17"/>
      <c r="H21" s="17"/>
      <c r="I21" s="17"/>
      <c r="J21" s="17"/>
    </row>
    <row r="22" spans="2:10" ht="15.75" customHeight="1" x14ac:dyDescent="0.25">
      <c r="B22" s="32" t="s">
        <v>22</v>
      </c>
      <c r="C22" s="32"/>
      <c r="D22" s="3">
        <f>SUM(G11,G20)</f>
        <v>241039</v>
      </c>
      <c r="E22" s="2"/>
      <c r="F22" s="2"/>
      <c r="G22" s="2"/>
      <c r="H22" s="2"/>
      <c r="I22" s="2"/>
      <c r="J22" s="2"/>
    </row>
  </sheetData>
  <mergeCells count="2">
    <mergeCell ref="B2:G2"/>
    <mergeCell ref="B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workbookViewId="0">
      <selection activeCell="D19" sqref="D19"/>
    </sheetView>
  </sheetViews>
  <sheetFormatPr defaultRowHeight="15" x14ac:dyDescent="0.25"/>
  <cols>
    <col min="2" max="2" width="18.7109375" customWidth="1"/>
    <col min="3" max="8" width="10.5703125" bestFit="1" customWidth="1"/>
  </cols>
  <sheetData>
    <row r="2" spans="2:10" x14ac:dyDescent="0.25">
      <c r="B2" s="33" t="s">
        <v>23</v>
      </c>
      <c r="C2" s="33"/>
      <c r="D2" s="33"/>
      <c r="E2" s="33"/>
      <c r="F2" s="33"/>
      <c r="G2" s="33"/>
      <c r="H2" s="33"/>
      <c r="I2" s="33"/>
      <c r="J2" s="33"/>
    </row>
    <row r="4" spans="2:10" x14ac:dyDescent="0.25">
      <c r="B4" s="9"/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</row>
    <row r="5" spans="2:10" x14ac:dyDescent="0.25">
      <c r="B5" s="8" t="s">
        <v>30</v>
      </c>
      <c r="C5" s="4">
        <v>500</v>
      </c>
      <c r="D5" s="4">
        <v>750</v>
      </c>
      <c r="E5" s="4">
        <v>800</v>
      </c>
      <c r="F5" s="4">
        <v>700</v>
      </c>
      <c r="G5" s="4">
        <v>654</v>
      </c>
      <c r="H5" s="4">
        <v>700</v>
      </c>
    </row>
    <row r="7" spans="2:10" x14ac:dyDescent="0.25">
      <c r="B7" s="8" t="s">
        <v>31</v>
      </c>
      <c r="C7" s="9"/>
      <c r="D7" s="9"/>
      <c r="E7" s="9"/>
      <c r="F7" s="9"/>
      <c r="G7" s="9"/>
      <c r="H7" s="9"/>
    </row>
    <row r="8" spans="2:10" x14ac:dyDescent="0.25">
      <c r="B8" s="8" t="s">
        <v>32</v>
      </c>
      <c r="C8" s="4">
        <v>10</v>
      </c>
      <c r="D8" s="4">
        <v>15</v>
      </c>
      <c r="E8" s="4">
        <v>15</v>
      </c>
      <c r="F8" s="4">
        <v>12</v>
      </c>
      <c r="G8" s="4">
        <v>12</v>
      </c>
      <c r="H8" s="4">
        <v>11</v>
      </c>
    </row>
    <row r="9" spans="2:10" x14ac:dyDescent="0.25">
      <c r="B9" s="8" t="s">
        <v>33</v>
      </c>
      <c r="C9" s="4">
        <v>50</v>
      </c>
      <c r="D9" s="4">
        <v>60</v>
      </c>
      <c r="E9" s="4">
        <v>54</v>
      </c>
      <c r="F9" s="4">
        <v>55</v>
      </c>
      <c r="G9" s="4">
        <v>54</v>
      </c>
      <c r="H9" s="4">
        <v>56</v>
      </c>
    </row>
    <row r="10" spans="2:10" x14ac:dyDescent="0.25">
      <c r="B10" s="8" t="s">
        <v>34</v>
      </c>
      <c r="C10" s="4">
        <v>300</v>
      </c>
      <c r="D10" s="4">
        <v>250</v>
      </c>
      <c r="E10" s="4">
        <v>300</v>
      </c>
      <c r="F10" s="4">
        <v>300</v>
      </c>
      <c r="G10" s="4">
        <v>200</v>
      </c>
      <c r="H10" s="4">
        <v>200</v>
      </c>
    </row>
    <row r="11" spans="2:10" x14ac:dyDescent="0.25">
      <c r="B11" s="8" t="s">
        <v>35</v>
      </c>
      <c r="C11" s="4">
        <v>40</v>
      </c>
      <c r="D11" s="4">
        <v>40</v>
      </c>
      <c r="E11" s="4">
        <v>40</v>
      </c>
      <c r="F11" s="4">
        <v>40</v>
      </c>
      <c r="G11" s="4">
        <v>40</v>
      </c>
      <c r="H11" s="4">
        <v>40</v>
      </c>
    </row>
    <row r="12" spans="2:10" x14ac:dyDescent="0.25">
      <c r="B12" s="8" t="s">
        <v>36</v>
      </c>
      <c r="C12" s="4">
        <v>10</v>
      </c>
      <c r="D12" s="4">
        <v>15</v>
      </c>
      <c r="E12" s="4">
        <v>14</v>
      </c>
      <c r="F12" s="4">
        <v>15</v>
      </c>
      <c r="G12" s="4">
        <v>20</v>
      </c>
      <c r="H12" s="4">
        <v>31</v>
      </c>
    </row>
    <row r="13" spans="2:10" x14ac:dyDescent="0.25">
      <c r="B13" s="8" t="s">
        <v>37</v>
      </c>
      <c r="C13" s="4">
        <v>120</v>
      </c>
      <c r="D13" s="4">
        <v>150</v>
      </c>
      <c r="E13" s="4">
        <v>130</v>
      </c>
      <c r="F13" s="4">
        <v>200</v>
      </c>
      <c r="G13" s="4">
        <v>150</v>
      </c>
      <c r="H13" s="4">
        <v>190</v>
      </c>
    </row>
    <row r="14" spans="2:10" x14ac:dyDescent="0.25">
      <c r="B14" s="8" t="s">
        <v>38</v>
      </c>
      <c r="C14" s="4">
        <v>50</v>
      </c>
      <c r="D14" s="4">
        <v>60</v>
      </c>
      <c r="E14" s="4">
        <v>65</v>
      </c>
      <c r="F14" s="4">
        <v>70</v>
      </c>
      <c r="G14" s="4">
        <v>65</v>
      </c>
      <c r="H14" s="4">
        <v>85</v>
      </c>
    </row>
    <row r="15" spans="2:10" x14ac:dyDescent="0.25">
      <c r="B15" s="8" t="s">
        <v>39</v>
      </c>
      <c r="C15" s="4">
        <v>145</v>
      </c>
      <c r="D15" s="4">
        <v>145</v>
      </c>
      <c r="E15" s="4">
        <v>145</v>
      </c>
      <c r="F15" s="4">
        <v>145</v>
      </c>
      <c r="G15" s="4">
        <v>100</v>
      </c>
      <c r="H15" s="4">
        <v>145</v>
      </c>
    </row>
    <row r="17" spans="2:8" ht="22.5" customHeight="1" x14ac:dyDescent="0.25">
      <c r="B17" s="10" t="s">
        <v>40</v>
      </c>
      <c r="C17" s="6">
        <f t="shared" ref="C17:H17" si="0">SUM(C8:C15)</f>
        <v>725</v>
      </c>
      <c r="D17" s="6">
        <f t="shared" si="0"/>
        <v>735</v>
      </c>
      <c r="E17" s="6">
        <f t="shared" si="0"/>
        <v>763</v>
      </c>
      <c r="F17" s="6">
        <f t="shared" si="0"/>
        <v>837</v>
      </c>
      <c r="G17" s="6">
        <f t="shared" si="0"/>
        <v>641</v>
      </c>
      <c r="H17" s="6">
        <f t="shared" si="0"/>
        <v>758</v>
      </c>
    </row>
    <row r="19" spans="2:8" x14ac:dyDescent="0.25">
      <c r="B19" s="8" t="s">
        <v>41</v>
      </c>
      <c r="C19" s="5">
        <f t="shared" ref="C19:H19" si="1">C5-C17</f>
        <v>-225</v>
      </c>
      <c r="D19" s="5">
        <f t="shared" si="1"/>
        <v>15</v>
      </c>
      <c r="E19" s="5">
        <f t="shared" si="1"/>
        <v>37</v>
      </c>
      <c r="F19" s="5">
        <f t="shared" si="1"/>
        <v>-137</v>
      </c>
      <c r="G19" s="5">
        <f t="shared" si="1"/>
        <v>13</v>
      </c>
      <c r="H19" s="5">
        <f t="shared" si="1"/>
        <v>-58</v>
      </c>
    </row>
  </sheetData>
  <mergeCells count="1">
    <mergeCell ref="B2: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4"/>
  <sheetViews>
    <sheetView workbookViewId="0">
      <selection activeCell="J10" sqref="J10"/>
    </sheetView>
  </sheetViews>
  <sheetFormatPr defaultRowHeight="15" x14ac:dyDescent="0.25"/>
  <cols>
    <col min="2" max="2" width="4.140625" style="12" customWidth="1"/>
    <col min="4" max="4" width="12.5703125" style="15" customWidth="1"/>
    <col min="6" max="6" width="12.42578125" customWidth="1"/>
    <col min="7" max="7" width="10" customWidth="1"/>
    <col min="8" max="8" width="14.42578125" customWidth="1"/>
    <col min="9" max="9" width="14.28515625" customWidth="1"/>
  </cols>
  <sheetData>
    <row r="3" spans="2:10" x14ac:dyDescent="0.25">
      <c r="B3" s="34" t="s">
        <v>42</v>
      </c>
      <c r="C3" s="34"/>
      <c r="D3" s="34"/>
      <c r="E3" s="34"/>
      <c r="F3" s="34"/>
      <c r="G3" s="34"/>
      <c r="H3" s="34"/>
      <c r="I3" s="34"/>
      <c r="J3" s="34"/>
    </row>
    <row r="4" spans="2:10" x14ac:dyDescent="0.25">
      <c r="B4" s="34"/>
      <c r="C4" s="34"/>
      <c r="D4" s="34"/>
      <c r="E4" s="34"/>
      <c r="F4" s="34"/>
      <c r="G4" s="34"/>
      <c r="H4" s="34"/>
      <c r="I4" s="34"/>
      <c r="J4" s="34"/>
    </row>
    <row r="6" spans="2:10" x14ac:dyDescent="0.25">
      <c r="B6" s="21" t="s">
        <v>43</v>
      </c>
      <c r="C6" s="22" t="s">
        <v>44</v>
      </c>
      <c r="D6" s="23" t="s">
        <v>45</v>
      </c>
      <c r="E6" s="24" t="s">
        <v>46</v>
      </c>
      <c r="F6" s="24" t="s">
        <v>47</v>
      </c>
      <c r="G6" s="24" t="s">
        <v>48</v>
      </c>
      <c r="H6" s="24" t="s">
        <v>49</v>
      </c>
      <c r="I6" s="24" t="s">
        <v>50</v>
      </c>
      <c r="J6" s="17"/>
    </row>
    <row r="7" spans="2:10" x14ac:dyDescent="0.25">
      <c r="B7" s="11">
        <v>1</v>
      </c>
      <c r="C7" s="14" t="s">
        <v>51</v>
      </c>
      <c r="D7" s="16">
        <v>853</v>
      </c>
      <c r="E7" s="13">
        <v>0.1</v>
      </c>
      <c r="F7" s="13">
        <v>0.09</v>
      </c>
      <c r="G7" s="5">
        <f t="shared" ref="G7:G14" si="0">D7*E7</f>
        <v>85.300000000000011</v>
      </c>
      <c r="H7" s="5">
        <f t="shared" ref="H7:H14" si="1">D7*F7</f>
        <v>76.77</v>
      </c>
      <c r="I7" s="5">
        <f>(D7+H7)-G7</f>
        <v>844.47</v>
      </c>
      <c r="J7" s="17"/>
    </row>
    <row r="8" spans="2:10" x14ac:dyDescent="0.25">
      <c r="B8" s="11">
        <v>2</v>
      </c>
      <c r="C8" s="14" t="s">
        <v>52</v>
      </c>
      <c r="D8" s="16">
        <v>951</v>
      </c>
      <c r="E8" s="13">
        <v>9.9900000000000003E-2</v>
      </c>
      <c r="F8" s="13">
        <v>0.08</v>
      </c>
      <c r="G8" s="5">
        <f t="shared" si="0"/>
        <v>95.004900000000006</v>
      </c>
      <c r="H8" s="5">
        <f t="shared" si="1"/>
        <v>76.08</v>
      </c>
      <c r="I8" s="5">
        <f t="shared" ref="I8:I14" si="2">(D8+H8)-G8</f>
        <v>932.07509999999991</v>
      </c>
      <c r="J8" s="17"/>
    </row>
    <row r="9" spans="2:10" x14ac:dyDescent="0.25">
      <c r="B9" s="11">
        <v>3</v>
      </c>
      <c r="C9" s="14" t="s">
        <v>53</v>
      </c>
      <c r="D9" s="16">
        <v>456</v>
      </c>
      <c r="E9" s="13">
        <v>8.6400000000000005E-2</v>
      </c>
      <c r="F9" s="13">
        <v>0.06</v>
      </c>
      <c r="G9" s="5">
        <f t="shared" si="0"/>
        <v>39.398400000000002</v>
      </c>
      <c r="H9" s="5">
        <f t="shared" si="1"/>
        <v>27.36</v>
      </c>
      <c r="I9" s="5">
        <f t="shared" si="2"/>
        <v>443.96160000000003</v>
      </c>
      <c r="J9" s="17"/>
    </row>
    <row r="10" spans="2:10" x14ac:dyDescent="0.25">
      <c r="B10" s="11">
        <v>4</v>
      </c>
      <c r="C10" s="14" t="s">
        <v>54</v>
      </c>
      <c r="D10" s="16">
        <v>500</v>
      </c>
      <c r="E10" s="13">
        <v>8.5000000000000006E-2</v>
      </c>
      <c r="F10" s="13">
        <v>0.06</v>
      </c>
      <c r="G10" s="5">
        <f t="shared" si="0"/>
        <v>42.5</v>
      </c>
      <c r="H10" s="5">
        <f t="shared" si="1"/>
        <v>30</v>
      </c>
      <c r="I10" s="5">
        <f t="shared" si="2"/>
        <v>487.5</v>
      </c>
      <c r="J10" s="17"/>
    </row>
    <row r="11" spans="2:10" x14ac:dyDescent="0.25">
      <c r="B11" s="11">
        <v>5</v>
      </c>
      <c r="C11" s="14" t="s">
        <v>55</v>
      </c>
      <c r="D11" s="16">
        <v>850</v>
      </c>
      <c r="E11" s="13">
        <v>8.9899999999999994E-2</v>
      </c>
      <c r="F11" s="13">
        <v>7.0000000000000007E-2</v>
      </c>
      <c r="G11" s="5">
        <f t="shared" si="0"/>
        <v>76.414999999999992</v>
      </c>
      <c r="H11" s="5">
        <f t="shared" si="1"/>
        <v>59.500000000000007</v>
      </c>
      <c r="I11" s="5">
        <f t="shared" si="2"/>
        <v>833.08500000000004</v>
      </c>
      <c r="J11" s="17"/>
    </row>
    <row r="12" spans="2:10" x14ac:dyDescent="0.25">
      <c r="B12" s="11">
        <v>6</v>
      </c>
      <c r="C12" s="14" t="s">
        <v>56</v>
      </c>
      <c r="D12" s="16">
        <v>459</v>
      </c>
      <c r="E12" s="13">
        <v>6.25E-2</v>
      </c>
      <c r="F12" s="13">
        <v>0.05</v>
      </c>
      <c r="G12" s="5">
        <f t="shared" si="0"/>
        <v>28.6875</v>
      </c>
      <c r="H12" s="5">
        <f t="shared" si="1"/>
        <v>22.950000000000003</v>
      </c>
      <c r="I12" s="5">
        <f t="shared" si="2"/>
        <v>453.26249999999999</v>
      </c>
      <c r="J12" s="17"/>
    </row>
    <row r="13" spans="2:10" x14ac:dyDescent="0.25">
      <c r="B13" s="11">
        <v>7</v>
      </c>
      <c r="C13" s="14" t="s">
        <v>57</v>
      </c>
      <c r="D13" s="16">
        <v>478</v>
      </c>
      <c r="E13" s="13">
        <v>7.1199999999999999E-2</v>
      </c>
      <c r="F13" s="13">
        <v>0.05</v>
      </c>
      <c r="G13" s="5">
        <f t="shared" si="0"/>
        <v>34.0336</v>
      </c>
      <c r="H13" s="5">
        <f t="shared" si="1"/>
        <v>23.900000000000002</v>
      </c>
      <c r="I13" s="5">
        <f t="shared" si="2"/>
        <v>467.8664</v>
      </c>
      <c r="J13" s="17"/>
    </row>
    <row r="14" spans="2:10" x14ac:dyDescent="0.25">
      <c r="B14" s="11">
        <v>8</v>
      </c>
      <c r="C14" s="14" t="s">
        <v>58</v>
      </c>
      <c r="D14" s="16">
        <v>658</v>
      </c>
      <c r="E14" s="13">
        <v>5.9900000000000002E-2</v>
      </c>
      <c r="F14" s="13">
        <v>0.04</v>
      </c>
      <c r="G14" s="5">
        <f t="shared" si="0"/>
        <v>39.414200000000001</v>
      </c>
      <c r="H14" s="5">
        <f t="shared" si="1"/>
        <v>26.32</v>
      </c>
      <c r="I14" s="5">
        <f t="shared" si="2"/>
        <v>644.9058</v>
      </c>
      <c r="J14" s="17"/>
    </row>
  </sheetData>
  <mergeCells count="1">
    <mergeCell ref="B3:J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>
      <selection activeCell="F10" sqref="F10"/>
    </sheetView>
  </sheetViews>
  <sheetFormatPr defaultRowHeight="15" x14ac:dyDescent="0.25"/>
  <cols>
    <col min="2" max="2" width="16.28515625" customWidth="1"/>
    <col min="3" max="4" width="12.5703125" customWidth="1"/>
    <col min="5" max="5" width="11.85546875" customWidth="1"/>
    <col min="6" max="6" width="12.140625" customWidth="1"/>
  </cols>
  <sheetData>
    <row r="2" spans="2:6" x14ac:dyDescent="0.25">
      <c r="B2" s="28" t="s">
        <v>59</v>
      </c>
      <c r="C2" s="25">
        <v>2.94</v>
      </c>
    </row>
    <row r="3" spans="2:6" x14ac:dyDescent="0.25">
      <c r="B3" s="35" t="s">
        <v>60</v>
      </c>
      <c r="C3" s="35"/>
      <c r="D3" s="35"/>
      <c r="E3" s="35"/>
      <c r="F3" s="35"/>
    </row>
    <row r="4" spans="2:6" x14ac:dyDescent="0.25">
      <c r="B4" s="9" t="s">
        <v>61</v>
      </c>
      <c r="C4" s="26" t="s">
        <v>62</v>
      </c>
      <c r="D4" s="26" t="s">
        <v>63</v>
      </c>
      <c r="E4" s="26" t="s">
        <v>64</v>
      </c>
      <c r="F4" s="26" t="s">
        <v>65</v>
      </c>
    </row>
    <row r="5" spans="2:6" x14ac:dyDescent="0.25">
      <c r="B5" s="2" t="s">
        <v>66</v>
      </c>
      <c r="C5" s="2">
        <v>500</v>
      </c>
      <c r="D5" s="4">
        <v>0.15</v>
      </c>
      <c r="E5" s="5">
        <f>C5*D5</f>
        <v>75</v>
      </c>
      <c r="F5" s="4">
        <f>E5/C2</f>
        <v>25.510204081632654</v>
      </c>
    </row>
    <row r="6" spans="2:6" x14ac:dyDescent="0.25">
      <c r="B6" s="2" t="s">
        <v>67</v>
      </c>
      <c r="C6" s="2">
        <v>750</v>
      </c>
      <c r="D6" s="4">
        <v>0.15</v>
      </c>
      <c r="E6" s="5">
        <f t="shared" ref="E6:E11" si="0">C6*D6</f>
        <v>112.5</v>
      </c>
      <c r="F6" s="4">
        <f>E6/C2</f>
        <v>38.265306122448983</v>
      </c>
    </row>
    <row r="7" spans="2:6" x14ac:dyDescent="0.25">
      <c r="B7" s="2" t="s">
        <v>68</v>
      </c>
      <c r="C7" s="2">
        <v>250</v>
      </c>
      <c r="D7" s="4">
        <v>10</v>
      </c>
      <c r="E7" s="5">
        <f t="shared" si="0"/>
        <v>2500</v>
      </c>
      <c r="F7" s="4">
        <f>E7/C2</f>
        <v>850.34013605442181</v>
      </c>
    </row>
    <row r="8" spans="2:6" x14ac:dyDescent="0.25">
      <c r="B8" s="2" t="s">
        <v>69</v>
      </c>
      <c r="C8" s="2">
        <v>310</v>
      </c>
      <c r="D8" s="4">
        <v>0.5</v>
      </c>
      <c r="E8" s="5">
        <f t="shared" si="0"/>
        <v>155</v>
      </c>
      <c r="F8" s="4">
        <f t="shared" ref="F8" si="1">E8/C5</f>
        <v>0.31</v>
      </c>
    </row>
    <row r="9" spans="2:6" x14ac:dyDescent="0.25">
      <c r="B9" s="2" t="s">
        <v>70</v>
      </c>
      <c r="C9" s="2">
        <v>500</v>
      </c>
      <c r="D9" s="4">
        <v>0.1</v>
      </c>
      <c r="E9" s="5">
        <f t="shared" si="0"/>
        <v>50</v>
      </c>
      <c r="F9" s="4">
        <f>E9/C2</f>
        <v>17.006802721088437</v>
      </c>
    </row>
    <row r="10" spans="2:6" x14ac:dyDescent="0.25">
      <c r="B10" s="2" t="s">
        <v>71</v>
      </c>
      <c r="C10" s="2">
        <v>1500</v>
      </c>
      <c r="D10" s="4">
        <v>2.5</v>
      </c>
      <c r="E10" s="5">
        <f t="shared" si="0"/>
        <v>3750</v>
      </c>
      <c r="F10" s="4">
        <f>E10/C2</f>
        <v>1275.5102040816328</v>
      </c>
    </row>
    <row r="11" spans="2:6" x14ac:dyDescent="0.25">
      <c r="B11" s="2" t="s">
        <v>72</v>
      </c>
      <c r="C11" s="2">
        <v>190</v>
      </c>
      <c r="D11" s="4">
        <v>6</v>
      </c>
      <c r="E11" s="5">
        <f t="shared" si="0"/>
        <v>1140</v>
      </c>
      <c r="F11" s="4">
        <f>E11/C2</f>
        <v>387.75510204081633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workbookViewId="0">
      <selection activeCell="F15" sqref="F15"/>
    </sheetView>
  </sheetViews>
  <sheetFormatPr defaultRowHeight="15" x14ac:dyDescent="0.25"/>
  <cols>
    <col min="2" max="2" width="20.28515625" customWidth="1"/>
    <col min="3" max="3" width="18" customWidth="1"/>
    <col min="4" max="4" width="14.85546875" customWidth="1"/>
    <col min="5" max="5" width="19.140625" customWidth="1"/>
    <col min="7" max="7" width="15.5703125" customWidth="1"/>
  </cols>
  <sheetData>
    <row r="2" spans="2:8" x14ac:dyDescent="0.25">
      <c r="B2" s="9" t="s">
        <v>73</v>
      </c>
      <c r="C2" s="9" t="s">
        <v>74</v>
      </c>
      <c r="D2" s="9" t="s">
        <v>75</v>
      </c>
      <c r="E2" s="9" t="s">
        <v>76</v>
      </c>
    </row>
    <row r="3" spans="2:8" x14ac:dyDescent="0.25">
      <c r="B3" s="2" t="s">
        <v>77</v>
      </c>
      <c r="C3" s="4">
        <v>900</v>
      </c>
      <c r="D3" s="4">
        <f>IF(C3&gt;1000,C3*H$6,C3*H$5)</f>
        <v>360</v>
      </c>
      <c r="E3" s="4">
        <f>SUM(C3,D3)</f>
        <v>1260</v>
      </c>
    </row>
    <row r="4" spans="2:8" x14ac:dyDescent="0.25">
      <c r="B4" s="2" t="s">
        <v>78</v>
      </c>
      <c r="C4" s="4">
        <v>1200</v>
      </c>
      <c r="D4" s="4">
        <f t="shared" ref="D4:D10" si="0">IF(C4&gt;1000,C4*H$6,C4*H$5)</f>
        <v>360</v>
      </c>
      <c r="E4" s="4">
        <f t="shared" ref="E4:E10" si="1">SUM(C4,D4)</f>
        <v>1560</v>
      </c>
    </row>
    <row r="5" spans="2:8" x14ac:dyDescent="0.25">
      <c r="B5" s="2" t="s">
        <v>79</v>
      </c>
      <c r="C5" s="4">
        <v>1500</v>
      </c>
      <c r="D5" s="4">
        <f t="shared" si="0"/>
        <v>450</v>
      </c>
      <c r="E5" s="4">
        <f t="shared" si="1"/>
        <v>1950</v>
      </c>
      <c r="G5" s="9" t="s">
        <v>85</v>
      </c>
      <c r="H5" s="29">
        <v>0.4</v>
      </c>
    </row>
    <row r="6" spans="2:8" x14ac:dyDescent="0.25">
      <c r="B6" s="2" t="s">
        <v>80</v>
      </c>
      <c r="C6" s="4">
        <v>2000</v>
      </c>
      <c r="D6" s="4">
        <f t="shared" si="0"/>
        <v>600</v>
      </c>
      <c r="E6" s="4">
        <f t="shared" si="1"/>
        <v>2600</v>
      </c>
      <c r="G6" s="9" t="s">
        <v>86</v>
      </c>
      <c r="H6" s="30">
        <v>0.3</v>
      </c>
    </row>
    <row r="7" spans="2:8" x14ac:dyDescent="0.25">
      <c r="B7" s="2" t="s">
        <v>81</v>
      </c>
      <c r="C7" s="4">
        <v>1400</v>
      </c>
      <c r="D7" s="4">
        <f t="shared" si="0"/>
        <v>420</v>
      </c>
      <c r="E7" s="4">
        <f t="shared" si="1"/>
        <v>1820</v>
      </c>
    </row>
    <row r="8" spans="2:8" x14ac:dyDescent="0.25">
      <c r="B8" s="2" t="s">
        <v>82</v>
      </c>
      <c r="C8" s="4">
        <v>990</v>
      </c>
      <c r="D8" s="4">
        <f t="shared" si="0"/>
        <v>396</v>
      </c>
      <c r="E8" s="4">
        <f t="shared" si="1"/>
        <v>1386</v>
      </c>
    </row>
    <row r="9" spans="2:8" x14ac:dyDescent="0.25">
      <c r="B9" s="2" t="s">
        <v>83</v>
      </c>
      <c r="C9" s="4">
        <v>854</v>
      </c>
      <c r="D9" s="4">
        <f t="shared" si="0"/>
        <v>341.6</v>
      </c>
      <c r="E9" s="4">
        <f t="shared" si="1"/>
        <v>1195.5999999999999</v>
      </c>
    </row>
    <row r="10" spans="2:8" x14ac:dyDescent="0.25">
      <c r="B10" s="2" t="s">
        <v>84</v>
      </c>
      <c r="C10" s="4">
        <v>1100</v>
      </c>
      <c r="D10" s="4">
        <f t="shared" si="0"/>
        <v>330</v>
      </c>
      <c r="E10" s="4">
        <f t="shared" si="1"/>
        <v>1430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"/>
  <sheetViews>
    <sheetView workbookViewId="0">
      <selection activeCell="D18" sqref="D18:F18"/>
    </sheetView>
  </sheetViews>
  <sheetFormatPr defaultRowHeight="15" x14ac:dyDescent="0.25"/>
  <cols>
    <col min="2" max="2" width="17.140625" customWidth="1"/>
    <col min="3" max="3" width="14" customWidth="1"/>
    <col min="4" max="4" width="12.85546875" customWidth="1"/>
    <col min="5" max="5" width="13.42578125" customWidth="1"/>
    <col min="6" max="6" width="12.5703125" customWidth="1"/>
    <col min="7" max="7" width="13.28515625" customWidth="1"/>
    <col min="8" max="8" width="15.85546875" customWidth="1"/>
  </cols>
  <sheetData>
    <row r="2" spans="2:7" x14ac:dyDescent="0.25">
      <c r="B2" s="64" t="s">
        <v>87</v>
      </c>
      <c r="C2" s="64"/>
      <c r="D2" s="64"/>
      <c r="E2" s="64"/>
      <c r="F2" s="64"/>
      <c r="G2" s="64"/>
    </row>
    <row r="4" spans="2:7" x14ac:dyDescent="0.25">
      <c r="B4" s="27" t="s">
        <v>88</v>
      </c>
      <c r="C4" s="27" t="s">
        <v>89</v>
      </c>
      <c r="D4" s="27" t="s">
        <v>90</v>
      </c>
      <c r="E4" s="27" t="s">
        <v>91</v>
      </c>
      <c r="F4" s="27" t="s">
        <v>92</v>
      </c>
      <c r="G4" s="27" t="s">
        <v>93</v>
      </c>
    </row>
    <row r="5" spans="2:7" x14ac:dyDescent="0.25">
      <c r="B5" s="2"/>
      <c r="C5" s="37">
        <v>140000</v>
      </c>
      <c r="D5" s="37">
        <v>165000</v>
      </c>
      <c r="E5" s="37">
        <v>208000</v>
      </c>
      <c r="F5" s="37">
        <v>280000</v>
      </c>
      <c r="G5" s="37">
        <f>SUM(C5:F5)</f>
        <v>793000</v>
      </c>
    </row>
    <row r="7" spans="2:7" x14ac:dyDescent="0.25">
      <c r="B7" s="65" t="s">
        <v>94</v>
      </c>
      <c r="C7" s="27" t="s">
        <v>89</v>
      </c>
      <c r="D7" s="27" t="s">
        <v>90</v>
      </c>
      <c r="E7" s="27" t="s">
        <v>91</v>
      </c>
      <c r="F7" s="27" t="s">
        <v>92</v>
      </c>
      <c r="G7" s="27" t="s">
        <v>93</v>
      </c>
    </row>
    <row r="8" spans="2:7" x14ac:dyDescent="0.25">
      <c r="B8" s="39" t="s">
        <v>95</v>
      </c>
      <c r="C8" s="37">
        <v>20000</v>
      </c>
      <c r="D8" s="37">
        <v>26000</v>
      </c>
      <c r="E8" s="37">
        <v>33800</v>
      </c>
      <c r="F8" s="37">
        <v>43940</v>
      </c>
      <c r="G8" s="37">
        <f>SUM(C8:F8)</f>
        <v>123740</v>
      </c>
    </row>
    <row r="9" spans="2:7" x14ac:dyDescent="0.25">
      <c r="B9" s="39" t="s">
        <v>96</v>
      </c>
      <c r="C9" s="37">
        <v>20000</v>
      </c>
      <c r="D9" s="37">
        <v>15600</v>
      </c>
      <c r="E9" s="37">
        <v>20280</v>
      </c>
      <c r="F9" s="37">
        <v>26364</v>
      </c>
      <c r="G9" s="37">
        <f>SUM(C9:F9)</f>
        <v>82244</v>
      </c>
    </row>
    <row r="10" spans="2:7" x14ac:dyDescent="0.25">
      <c r="B10" s="39" t="s">
        <v>97</v>
      </c>
      <c r="C10" s="37">
        <v>12000</v>
      </c>
      <c r="D10" s="37">
        <v>20930</v>
      </c>
      <c r="E10" s="37">
        <v>27209</v>
      </c>
      <c r="F10" s="37">
        <v>35371.699999999997</v>
      </c>
      <c r="G10" s="37">
        <f>SUM(C10:F10)</f>
        <v>95510.7</v>
      </c>
    </row>
    <row r="11" spans="2:7" x14ac:dyDescent="0.25">
      <c r="B11" s="39" t="s">
        <v>98</v>
      </c>
      <c r="C11" s="37">
        <v>16100</v>
      </c>
      <c r="D11" s="37">
        <v>28870</v>
      </c>
      <c r="E11" s="37">
        <v>33631</v>
      </c>
      <c r="F11" s="37">
        <v>43720</v>
      </c>
      <c r="G11" s="37">
        <f>SUM(C11:F11)</f>
        <v>122321</v>
      </c>
    </row>
    <row r="12" spans="2:7" x14ac:dyDescent="0.25">
      <c r="B12" s="39" t="s">
        <v>99</v>
      </c>
      <c r="C12" s="37">
        <v>19900</v>
      </c>
      <c r="D12" s="37">
        <v>39000</v>
      </c>
      <c r="E12" s="37">
        <v>50700</v>
      </c>
      <c r="F12" s="37">
        <v>65910</v>
      </c>
      <c r="G12" s="37">
        <f>SUM(C12:F12)</f>
        <v>175510</v>
      </c>
    </row>
    <row r="13" spans="2:7" x14ac:dyDescent="0.25">
      <c r="B13" s="39" t="s">
        <v>100</v>
      </c>
      <c r="C13" s="37">
        <v>25000</v>
      </c>
      <c r="D13" s="37">
        <v>32500</v>
      </c>
      <c r="E13" s="37">
        <v>42250</v>
      </c>
      <c r="F13" s="37">
        <v>54925</v>
      </c>
      <c r="G13" s="37">
        <f>SUM(C13:F13)</f>
        <v>154675</v>
      </c>
    </row>
    <row r="15" spans="2:7" x14ac:dyDescent="0.25">
      <c r="B15" s="9" t="s">
        <v>101</v>
      </c>
      <c r="C15" s="40">
        <f>SUM(C8:C13)</f>
        <v>113000</v>
      </c>
      <c r="D15" s="40">
        <f>SUM(D8:D13)</f>
        <v>162900</v>
      </c>
      <c r="E15" s="40">
        <f>SUM(E8:E13)</f>
        <v>207870</v>
      </c>
      <c r="F15" s="40">
        <f>SUM(F8:F13)</f>
        <v>270230.7</v>
      </c>
      <c r="G15" s="42"/>
    </row>
    <row r="16" spans="2:7" x14ac:dyDescent="0.25">
      <c r="B16" s="9" t="s">
        <v>102</v>
      </c>
      <c r="C16" s="40">
        <f>C5-C15</f>
        <v>27000</v>
      </c>
      <c r="D16" s="40">
        <f>D5-D15</f>
        <v>2100</v>
      </c>
      <c r="E16" s="40">
        <f>E5-E15</f>
        <v>130</v>
      </c>
      <c r="F16" s="40">
        <f>F5-F15</f>
        <v>9769.2999999999884</v>
      </c>
      <c r="G16" s="17"/>
    </row>
    <row r="17" spans="2:8" x14ac:dyDescent="0.25">
      <c r="B17" s="9" t="s">
        <v>103</v>
      </c>
      <c r="C17" s="36" t="str">
        <f>IF(C16&lt;1000,"Prejuízo Total",IF(C16&lt;5000,"Lucro Médio","Lucro Total"))</f>
        <v>Lucro Total</v>
      </c>
      <c r="D17" s="36" t="str">
        <f>IF(D16&lt;1000,"Prejuízo Total",IF(D16&lt;5000,"Lucro Médio","Lucro Total"))</f>
        <v>Lucro Médio</v>
      </c>
      <c r="E17" s="36" t="str">
        <f>IF(E16&lt;1000,"Prejuízo Total",IF(E16&lt;5000,"Lucro Médio","Lucro Total"))</f>
        <v>Prejuízo Total</v>
      </c>
      <c r="F17" s="36" t="str">
        <f>IF(F16&lt;1000,"Prejuízo Total",IF(F16&lt;5000,"Lucro Médio","Lucro Total"))</f>
        <v>Lucro Total</v>
      </c>
      <c r="G17" s="17"/>
    </row>
    <row r="18" spans="2:8" x14ac:dyDescent="0.25">
      <c r="D18" s="66" t="s">
        <v>104</v>
      </c>
      <c r="E18" s="67"/>
      <c r="F18" s="68"/>
      <c r="G18" s="43">
        <f>SUM(G8:G13)</f>
        <v>754000.7</v>
      </c>
      <c r="H18" s="17"/>
    </row>
  </sheetData>
  <mergeCells count="2">
    <mergeCell ref="B2:G2"/>
    <mergeCell ref="D18:F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"/>
  <sheetViews>
    <sheetView workbookViewId="0">
      <selection activeCell="F16" sqref="F16"/>
    </sheetView>
  </sheetViews>
  <sheetFormatPr defaultRowHeight="15" x14ac:dyDescent="0.25"/>
  <cols>
    <col min="2" max="2" width="10.42578125" customWidth="1"/>
    <col min="3" max="3" width="11.85546875" customWidth="1"/>
    <col min="4" max="4" width="13.42578125" customWidth="1"/>
    <col min="5" max="5" width="11.5703125" customWidth="1"/>
    <col min="7" max="7" width="9.140625" customWidth="1"/>
    <col min="9" max="9" width="10.5703125" customWidth="1"/>
  </cols>
  <sheetData>
    <row r="2" spans="2:13" x14ac:dyDescent="0.25">
      <c r="B2" s="17"/>
      <c r="C2" s="17"/>
      <c r="D2" s="17"/>
    </row>
    <row r="3" spans="2:13" x14ac:dyDescent="0.25">
      <c r="B3" s="59" t="s">
        <v>105</v>
      </c>
      <c r="C3" s="59"/>
      <c r="I3" s="60" t="s">
        <v>114</v>
      </c>
      <c r="J3" s="60"/>
    </row>
    <row r="4" spans="2:13" x14ac:dyDescent="0.25">
      <c r="B4" s="56" t="s">
        <v>2</v>
      </c>
      <c r="C4" s="57" t="s">
        <v>3</v>
      </c>
      <c r="D4" s="57" t="s">
        <v>112</v>
      </c>
      <c r="E4" s="58" t="s">
        <v>113</v>
      </c>
      <c r="I4" s="61" t="s">
        <v>115</v>
      </c>
      <c r="J4" s="44"/>
      <c r="K4" s="44"/>
      <c r="L4" s="44"/>
      <c r="M4" s="45">
        <v>20</v>
      </c>
    </row>
    <row r="5" spans="2:13" x14ac:dyDescent="0.25">
      <c r="B5" s="46" t="s">
        <v>106</v>
      </c>
      <c r="C5" s="51">
        <v>4665</v>
      </c>
      <c r="D5" s="51">
        <v>4654</v>
      </c>
      <c r="E5" s="54" t="str">
        <f>IF(C5&lt;D5,"Menor",IF(C5=D5,"Igual","Maior"))</f>
        <v>Maior</v>
      </c>
      <c r="I5" s="62" t="s">
        <v>116</v>
      </c>
      <c r="J5" s="17"/>
      <c r="K5" s="17"/>
      <c r="L5" s="17"/>
      <c r="M5" s="47">
        <v>18</v>
      </c>
    </row>
    <row r="6" spans="2:13" x14ac:dyDescent="0.25">
      <c r="B6" s="46" t="s">
        <v>107</v>
      </c>
      <c r="C6" s="51">
        <v>16574</v>
      </c>
      <c r="D6" s="51">
        <v>24348</v>
      </c>
      <c r="E6" s="54" t="str">
        <f>IF(C6&lt;D6,"Menor",IF(C6=D6,"Igual","Maior"))</f>
        <v>Menor</v>
      </c>
      <c r="I6" s="63" t="s">
        <v>117</v>
      </c>
      <c r="J6" s="49"/>
      <c r="K6" s="49"/>
      <c r="L6" s="49"/>
      <c r="M6" s="50">
        <v>24</v>
      </c>
    </row>
    <row r="7" spans="2:13" x14ac:dyDescent="0.25">
      <c r="B7" s="46" t="s">
        <v>108</v>
      </c>
      <c r="C7" s="51">
        <v>1654</v>
      </c>
      <c r="D7" s="51">
        <v>6468</v>
      </c>
      <c r="E7" s="54" t="str">
        <f>IF(C7&lt;D7,"Menor",IF(C7=D7,"Igual","Maior"))</f>
        <v>Menor</v>
      </c>
    </row>
    <row r="8" spans="2:13" x14ac:dyDescent="0.25">
      <c r="B8" s="46" t="s">
        <v>109</v>
      </c>
      <c r="C8" s="52">
        <v>654</v>
      </c>
      <c r="D8" s="51">
        <v>654</v>
      </c>
      <c r="E8" s="54" t="str">
        <f>IF(C8&lt;D8,"Menor",IF(C8=D8,"Igual","Maior"))</f>
        <v>Igual</v>
      </c>
      <c r="I8" t="s">
        <v>118</v>
      </c>
      <c r="K8" s="55" t="str">
        <f>IF(M4&lt;M5,"Fora",IF(M4&gt;M6,"Fora","Dentro"))</f>
        <v>Dentro</v>
      </c>
      <c r="L8" s="55"/>
      <c r="M8" s="55"/>
    </row>
    <row r="9" spans="2:13" x14ac:dyDescent="0.25">
      <c r="B9" s="46" t="s">
        <v>110</v>
      </c>
      <c r="C9" s="52">
        <v>413</v>
      </c>
      <c r="D9" s="51">
        <v>434</v>
      </c>
      <c r="E9" s="54" t="str">
        <f>IF(C9&lt;D9,"Menor",IF(C9=D9,"Igual","Maior"))</f>
        <v>Menor</v>
      </c>
    </row>
    <row r="10" spans="2:13" x14ac:dyDescent="0.25">
      <c r="B10" s="48" t="s">
        <v>111</v>
      </c>
      <c r="C10" s="53">
        <v>65765</v>
      </c>
      <c r="D10" s="53">
        <v>54646</v>
      </c>
      <c r="E10" s="54" t="str">
        <f>IF(C10&lt;D10,"Menor",IF(C10=D10,"Igual","Maior"))</f>
        <v>Maior</v>
      </c>
    </row>
  </sheetData>
  <mergeCells count="3">
    <mergeCell ref="B3:C3"/>
    <mergeCell ref="I3:J3"/>
    <mergeCell ref="K8:M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>
      <selection activeCell="C20" sqref="C20"/>
    </sheetView>
  </sheetViews>
  <sheetFormatPr defaultRowHeight="15" x14ac:dyDescent="0.25"/>
  <cols>
    <col min="2" max="2" width="13.85546875" customWidth="1"/>
    <col min="3" max="3" width="28.42578125" customWidth="1"/>
    <col min="4" max="4" width="16.5703125" customWidth="1"/>
    <col min="5" max="5" width="17" customWidth="1"/>
    <col min="6" max="6" width="11" customWidth="1"/>
  </cols>
  <sheetData>
    <row r="2" spans="2:6" x14ac:dyDescent="0.25">
      <c r="B2" s="69" t="s">
        <v>73</v>
      </c>
      <c r="C2" s="69" t="s">
        <v>119</v>
      </c>
      <c r="D2" s="69" t="s">
        <v>120</v>
      </c>
      <c r="E2" s="69" t="s">
        <v>121</v>
      </c>
      <c r="F2" s="69" t="s">
        <v>122</v>
      </c>
    </row>
    <row r="3" spans="2:6" x14ac:dyDescent="0.25"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</row>
    <row r="4" spans="2:6" x14ac:dyDescent="0.25">
      <c r="B4" s="2" t="s">
        <v>51</v>
      </c>
      <c r="C4" s="2" t="s">
        <v>128</v>
      </c>
      <c r="D4" s="2" t="s">
        <v>129</v>
      </c>
      <c r="E4" s="2" t="s">
        <v>130</v>
      </c>
      <c r="F4" s="2" t="s">
        <v>127</v>
      </c>
    </row>
    <row r="5" spans="2:6" x14ac:dyDescent="0.25">
      <c r="B5" s="2" t="s">
        <v>131</v>
      </c>
      <c r="C5" s="2" t="s">
        <v>132</v>
      </c>
      <c r="D5" s="2" t="s">
        <v>125</v>
      </c>
      <c r="E5" s="2" t="s">
        <v>133</v>
      </c>
      <c r="F5" s="2" t="s">
        <v>134</v>
      </c>
    </row>
    <row r="6" spans="2:6" x14ac:dyDescent="0.25">
      <c r="B6" s="2" t="s">
        <v>135</v>
      </c>
      <c r="C6" s="2" t="s">
        <v>136</v>
      </c>
      <c r="D6" s="2" t="s">
        <v>137</v>
      </c>
      <c r="E6" s="2" t="s">
        <v>138</v>
      </c>
      <c r="F6" s="2" t="s">
        <v>127</v>
      </c>
    </row>
    <row r="7" spans="2:6" x14ac:dyDescent="0.25">
      <c r="B7" s="2" t="s">
        <v>54</v>
      </c>
      <c r="C7" s="2" t="s">
        <v>139</v>
      </c>
      <c r="D7" s="2" t="s">
        <v>140</v>
      </c>
      <c r="E7" s="2" t="s">
        <v>141</v>
      </c>
      <c r="F7" s="2" t="s">
        <v>127</v>
      </c>
    </row>
    <row r="8" spans="2:6" x14ac:dyDescent="0.25">
      <c r="B8" s="2" t="s">
        <v>53</v>
      </c>
      <c r="C8" s="2" t="s">
        <v>142</v>
      </c>
      <c r="D8" s="2" t="s">
        <v>125</v>
      </c>
      <c r="E8" s="2" t="s">
        <v>143</v>
      </c>
      <c r="F8" s="2" t="s">
        <v>144</v>
      </c>
    </row>
    <row r="9" spans="2:6" x14ac:dyDescent="0.25">
      <c r="B9" s="2" t="s">
        <v>145</v>
      </c>
      <c r="C9" s="2" t="s">
        <v>146</v>
      </c>
      <c r="D9" s="2" t="s">
        <v>147</v>
      </c>
      <c r="E9" s="2" t="s">
        <v>148</v>
      </c>
      <c r="F9" s="2" t="s">
        <v>127</v>
      </c>
    </row>
    <row r="10" spans="2:6" x14ac:dyDescent="0.25">
      <c r="B10" s="2" t="s">
        <v>149</v>
      </c>
      <c r="C10" s="2" t="s">
        <v>150</v>
      </c>
      <c r="D10" s="2" t="s">
        <v>151</v>
      </c>
      <c r="E10" s="2" t="s">
        <v>152</v>
      </c>
      <c r="F10" s="2" t="s">
        <v>127</v>
      </c>
    </row>
    <row r="11" spans="2:6" x14ac:dyDescent="0.25">
      <c r="B11" s="2" t="s">
        <v>153</v>
      </c>
      <c r="C11" s="2" t="s">
        <v>154</v>
      </c>
      <c r="D11" s="2" t="s">
        <v>155</v>
      </c>
      <c r="E11" s="2" t="s">
        <v>156</v>
      </c>
      <c r="F11" s="2" t="s">
        <v>157</v>
      </c>
    </row>
    <row r="12" spans="2:6" x14ac:dyDescent="0.25">
      <c r="B12" s="2" t="s">
        <v>52</v>
      </c>
      <c r="C12" s="2" t="s">
        <v>158</v>
      </c>
      <c r="D12" s="2" t="s">
        <v>159</v>
      </c>
      <c r="E12" s="2" t="s">
        <v>160</v>
      </c>
      <c r="F12" s="2" t="s">
        <v>161</v>
      </c>
    </row>
    <row r="13" spans="2:6" x14ac:dyDescent="0.25">
      <c r="B13" s="2" t="s">
        <v>162</v>
      </c>
      <c r="C13" s="2" t="s">
        <v>163</v>
      </c>
      <c r="D13" s="2" t="s">
        <v>164</v>
      </c>
      <c r="E13" s="2" t="s">
        <v>138</v>
      </c>
      <c r="F13" s="2" t="s">
        <v>127</v>
      </c>
    </row>
    <row r="14" spans="2:6" x14ac:dyDescent="0.25">
      <c r="B14" s="2" t="s">
        <v>165</v>
      </c>
      <c r="C14" s="2" t="s">
        <v>166</v>
      </c>
      <c r="D14" s="2" t="s">
        <v>167</v>
      </c>
      <c r="E14" s="2" t="s">
        <v>130</v>
      </c>
      <c r="F14" s="2" t="s">
        <v>127</v>
      </c>
    </row>
    <row r="15" spans="2:6" x14ac:dyDescent="0.25">
      <c r="B15" s="2" t="s">
        <v>168</v>
      </c>
      <c r="C15" s="2" t="s">
        <v>169</v>
      </c>
      <c r="D15" s="2" t="s">
        <v>125</v>
      </c>
      <c r="E15" s="2" t="s">
        <v>170</v>
      </c>
      <c r="F15" s="2" t="s">
        <v>171</v>
      </c>
    </row>
    <row r="16" spans="2:6" x14ac:dyDescent="0.25">
      <c r="B16" s="2" t="s">
        <v>172</v>
      </c>
      <c r="C16" s="2" t="s">
        <v>173</v>
      </c>
      <c r="D16" s="2" t="s">
        <v>174</v>
      </c>
      <c r="E16" s="2" t="s">
        <v>175</v>
      </c>
      <c r="F16" s="2" t="s">
        <v>176</v>
      </c>
    </row>
    <row r="17" spans="2:6" x14ac:dyDescent="0.25">
      <c r="B17" s="2" t="s">
        <v>177</v>
      </c>
      <c r="C17" s="2" t="s">
        <v>178</v>
      </c>
      <c r="D17" s="2" t="s">
        <v>179</v>
      </c>
      <c r="E17" s="2" t="s">
        <v>180</v>
      </c>
      <c r="F17" s="2" t="s">
        <v>181</v>
      </c>
    </row>
    <row r="19" spans="2:6" x14ac:dyDescent="0.25">
      <c r="B19" s="9" t="s">
        <v>73</v>
      </c>
      <c r="C19" s="2" t="s">
        <v>168</v>
      </c>
    </row>
    <row r="20" spans="2:6" x14ac:dyDescent="0.25">
      <c r="B20" s="9" t="s">
        <v>119</v>
      </c>
      <c r="C20" s="2"/>
    </row>
    <row r="21" spans="2:6" x14ac:dyDescent="0.25">
      <c r="B21" s="9" t="s">
        <v>120</v>
      </c>
      <c r="C21" s="2"/>
    </row>
    <row r="22" spans="2:6" x14ac:dyDescent="0.25">
      <c r="B22" s="9" t="s">
        <v>121</v>
      </c>
      <c r="C22" s="2"/>
    </row>
    <row r="23" spans="2:6" x14ac:dyDescent="0.25">
      <c r="B23" s="9" t="s">
        <v>122</v>
      </c>
      <c r="C23" s="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tabSelected="1" workbookViewId="0">
      <selection activeCell="K21" sqref="K21"/>
    </sheetView>
  </sheetViews>
  <sheetFormatPr defaultRowHeight="15" x14ac:dyDescent="0.25"/>
  <cols>
    <col min="2" max="2" width="17.42578125" customWidth="1"/>
    <col min="3" max="3" width="12.42578125" customWidth="1"/>
    <col min="4" max="5" width="10.7109375" customWidth="1"/>
    <col min="6" max="6" width="13.7109375" customWidth="1"/>
    <col min="7" max="7" width="13.5703125" customWidth="1"/>
    <col min="8" max="8" width="10.85546875" customWidth="1"/>
    <col min="9" max="9" width="12" customWidth="1"/>
  </cols>
  <sheetData>
    <row r="1" spans="2:12" ht="15.75" thickBot="1" x14ac:dyDescent="0.3"/>
    <row r="2" spans="2:12" ht="15.75" thickBot="1" x14ac:dyDescent="0.3">
      <c r="B2" s="82" t="s">
        <v>182</v>
      </c>
      <c r="C2" s="76"/>
      <c r="D2" s="76"/>
      <c r="I2" s="70" t="s">
        <v>185</v>
      </c>
      <c r="J2" s="71"/>
      <c r="K2" s="71"/>
      <c r="L2" s="72"/>
    </row>
    <row r="3" spans="2:12" x14ac:dyDescent="0.25">
      <c r="I3" s="46"/>
      <c r="J3" s="73" t="s">
        <v>187</v>
      </c>
      <c r="K3" s="73"/>
      <c r="L3" s="47"/>
    </row>
    <row r="4" spans="2:12" x14ac:dyDescent="0.25">
      <c r="B4" s="78" t="s">
        <v>183</v>
      </c>
      <c r="C4" s="77">
        <v>0.125</v>
      </c>
      <c r="D4" s="76"/>
      <c r="E4" s="79"/>
      <c r="I4" s="48"/>
      <c r="J4" s="74" t="s">
        <v>186</v>
      </c>
      <c r="K4" s="74"/>
      <c r="L4" s="50"/>
    </row>
    <row r="5" spans="2:12" x14ac:dyDescent="0.25">
      <c r="B5" s="75" t="s">
        <v>184</v>
      </c>
      <c r="C5" s="75">
        <v>3.34</v>
      </c>
      <c r="D5" s="76"/>
      <c r="E5" s="17"/>
    </row>
    <row r="7" spans="2:12" ht="15.75" thickBot="1" x14ac:dyDescent="0.3"/>
    <row r="8" spans="2:12" ht="16.5" thickTop="1" thickBot="1" x14ac:dyDescent="0.3">
      <c r="D8" s="83" t="s">
        <v>188</v>
      </c>
      <c r="E8" s="83"/>
      <c r="F8" s="83"/>
      <c r="G8" s="83" t="s">
        <v>189</v>
      </c>
      <c r="H8" s="83"/>
      <c r="I8" s="83"/>
    </row>
    <row r="9" spans="2:12" ht="16.5" thickTop="1" thickBot="1" x14ac:dyDescent="0.3">
      <c r="B9" s="84" t="s">
        <v>2</v>
      </c>
      <c r="C9" s="88" t="s">
        <v>190</v>
      </c>
      <c r="D9" s="88" t="s">
        <v>204</v>
      </c>
      <c r="E9" s="88" t="s">
        <v>192</v>
      </c>
      <c r="F9" s="88" t="s">
        <v>202</v>
      </c>
      <c r="G9" s="88" t="s">
        <v>191</v>
      </c>
      <c r="H9" s="88" t="s">
        <v>192</v>
      </c>
      <c r="I9" s="88" t="s">
        <v>203</v>
      </c>
    </row>
    <row r="10" spans="2:12" ht="15.75" thickTop="1" x14ac:dyDescent="0.25">
      <c r="B10" s="85" t="s">
        <v>193</v>
      </c>
      <c r="C10" s="41">
        <v>500</v>
      </c>
      <c r="D10" s="89">
        <v>0.5</v>
      </c>
      <c r="E10" s="41">
        <v>0.55000000000000004</v>
      </c>
      <c r="F10" s="89">
        <f>E10*C10</f>
        <v>275</v>
      </c>
      <c r="G10" s="91">
        <f>D10*C5</f>
        <v>1.67</v>
      </c>
      <c r="H10" s="90">
        <f>G10 * (1 + C4)</f>
        <v>1.8787499999999999</v>
      </c>
      <c r="I10" s="97">
        <f>H10 *C10</f>
        <v>939.375</v>
      </c>
    </row>
    <row r="11" spans="2:12" x14ac:dyDescent="0.25">
      <c r="B11" s="86" t="s">
        <v>194</v>
      </c>
      <c r="C11" s="2">
        <v>200</v>
      </c>
      <c r="D11" s="4">
        <v>2.27</v>
      </c>
      <c r="E11" s="80">
        <v>2.7</v>
      </c>
      <c r="F11" s="89">
        <f t="shared" ref="F11:F20" si="0">E11*C11</f>
        <v>540</v>
      </c>
      <c r="G11" s="91">
        <f>D11*C5</f>
        <v>7.5817999999999994</v>
      </c>
      <c r="H11" s="80">
        <f>G11 * (1 + C4)</f>
        <v>8.5295249999999996</v>
      </c>
      <c r="I11" s="98">
        <f t="shared" ref="I11:I20" si="1">H11 *C11</f>
        <v>1705.905</v>
      </c>
    </row>
    <row r="12" spans="2:12" x14ac:dyDescent="0.25">
      <c r="B12" s="86" t="s">
        <v>195</v>
      </c>
      <c r="C12" s="2">
        <v>300</v>
      </c>
      <c r="D12" s="4">
        <v>5</v>
      </c>
      <c r="E12" s="80">
        <v>5.5</v>
      </c>
      <c r="F12" s="89">
        <f t="shared" si="0"/>
        <v>1650</v>
      </c>
      <c r="G12" s="91">
        <f>D12*C5</f>
        <v>16.7</v>
      </c>
      <c r="H12" s="80">
        <f>G12 * (1 + C4)</f>
        <v>18.787499999999998</v>
      </c>
      <c r="I12" s="99">
        <f t="shared" si="1"/>
        <v>5636.2499999999991</v>
      </c>
    </row>
    <row r="13" spans="2:12" x14ac:dyDescent="0.25">
      <c r="B13" s="86" t="s">
        <v>66</v>
      </c>
      <c r="C13" s="2">
        <v>1000</v>
      </c>
      <c r="D13" s="4">
        <v>0.15</v>
      </c>
      <c r="E13" s="2">
        <v>0.25</v>
      </c>
      <c r="F13" s="89">
        <f t="shared" si="0"/>
        <v>250</v>
      </c>
      <c r="G13" s="91">
        <f>D13*C5</f>
        <v>0.501</v>
      </c>
      <c r="H13" s="80">
        <f>G13 * (1 + C4)</f>
        <v>0.56362500000000004</v>
      </c>
      <c r="I13" s="98">
        <f t="shared" si="1"/>
        <v>563.625</v>
      </c>
    </row>
    <row r="14" spans="2:12" x14ac:dyDescent="0.25">
      <c r="B14" s="86" t="s">
        <v>67</v>
      </c>
      <c r="C14" s="2">
        <v>1000</v>
      </c>
      <c r="D14" s="4">
        <v>0.15</v>
      </c>
      <c r="E14" s="2">
        <v>0.25</v>
      </c>
      <c r="F14" s="89">
        <f t="shared" si="0"/>
        <v>250</v>
      </c>
      <c r="G14" s="91">
        <f>D14*C5</f>
        <v>0.501</v>
      </c>
      <c r="H14" s="80">
        <f>G14 * (1 + C4)</f>
        <v>0.56362500000000004</v>
      </c>
      <c r="I14" s="99">
        <f t="shared" si="1"/>
        <v>563.625</v>
      </c>
    </row>
    <row r="15" spans="2:12" x14ac:dyDescent="0.25">
      <c r="B15" s="86" t="s">
        <v>196</v>
      </c>
      <c r="C15" s="2">
        <v>200</v>
      </c>
      <c r="D15" s="4">
        <v>3</v>
      </c>
      <c r="E15" s="80">
        <v>3.5</v>
      </c>
      <c r="F15" s="89">
        <f t="shared" si="0"/>
        <v>700</v>
      </c>
      <c r="G15" s="91">
        <f>D15*C5</f>
        <v>10.02</v>
      </c>
      <c r="H15" s="80">
        <f>G15 * (1 + C4)</f>
        <v>11.272499999999999</v>
      </c>
      <c r="I15" s="98">
        <f t="shared" si="1"/>
        <v>2254.5</v>
      </c>
    </row>
    <row r="16" spans="2:12" x14ac:dyDescent="0.25">
      <c r="B16" s="86" t="s">
        <v>197</v>
      </c>
      <c r="C16" s="2">
        <v>500</v>
      </c>
      <c r="D16" s="4">
        <v>0.25</v>
      </c>
      <c r="E16" s="80">
        <v>0.3</v>
      </c>
      <c r="F16" s="89">
        <f t="shared" si="0"/>
        <v>150</v>
      </c>
      <c r="G16" s="91">
        <f>D16*C5</f>
        <v>0.83499999999999996</v>
      </c>
      <c r="H16" s="80">
        <f>G16 * (1 + C4)</f>
        <v>0.93937499999999996</v>
      </c>
      <c r="I16" s="99">
        <f t="shared" si="1"/>
        <v>469.6875</v>
      </c>
    </row>
    <row r="17" spans="2:9" x14ac:dyDescent="0.25">
      <c r="B17" s="86" t="s">
        <v>198</v>
      </c>
      <c r="C17" s="2">
        <v>500</v>
      </c>
      <c r="D17" s="4">
        <v>0.35</v>
      </c>
      <c r="E17" s="80">
        <v>0.45</v>
      </c>
      <c r="F17" s="89">
        <f t="shared" si="0"/>
        <v>225</v>
      </c>
      <c r="G17" s="91">
        <f>D17*C5</f>
        <v>1.1689999999999998</v>
      </c>
      <c r="H17" s="80">
        <f>G17 * (1 + C4)</f>
        <v>1.3151249999999999</v>
      </c>
      <c r="I17" s="98">
        <f t="shared" si="1"/>
        <v>657.56249999999989</v>
      </c>
    </row>
    <row r="18" spans="2:9" x14ac:dyDescent="0.25">
      <c r="B18" s="86" t="s">
        <v>199</v>
      </c>
      <c r="C18" s="2">
        <v>50</v>
      </c>
      <c r="D18" s="4">
        <v>6</v>
      </c>
      <c r="E18" s="80">
        <v>6.5</v>
      </c>
      <c r="F18" s="89">
        <f t="shared" si="0"/>
        <v>325</v>
      </c>
      <c r="G18" s="91">
        <f>D18*C5</f>
        <v>20.04</v>
      </c>
      <c r="H18" s="80">
        <f>G18 * (1 + C4)</f>
        <v>22.544999999999998</v>
      </c>
      <c r="I18" s="99">
        <f t="shared" si="1"/>
        <v>1127.25</v>
      </c>
    </row>
    <row r="19" spans="2:9" x14ac:dyDescent="0.25">
      <c r="B19" s="86" t="s">
        <v>200</v>
      </c>
      <c r="C19" s="2">
        <v>100</v>
      </c>
      <c r="D19" s="4">
        <v>3.14</v>
      </c>
      <c r="E19" s="80">
        <v>4</v>
      </c>
      <c r="F19" s="89">
        <f t="shared" si="0"/>
        <v>400</v>
      </c>
      <c r="G19" s="91">
        <f>D19*C5</f>
        <v>10.4876</v>
      </c>
      <c r="H19" s="80">
        <f>G19 * (1 + C4)</f>
        <v>11.798550000000001</v>
      </c>
      <c r="I19" s="98">
        <f t="shared" si="1"/>
        <v>1179.855</v>
      </c>
    </row>
    <row r="20" spans="2:9" ht="15.75" thickBot="1" x14ac:dyDescent="0.3">
      <c r="B20" s="87" t="s">
        <v>201</v>
      </c>
      <c r="C20" s="38">
        <v>100</v>
      </c>
      <c r="D20" s="95">
        <v>5.68</v>
      </c>
      <c r="E20" s="81">
        <v>6</v>
      </c>
      <c r="F20" s="89">
        <f t="shared" si="0"/>
        <v>600</v>
      </c>
      <c r="G20" s="91">
        <f>D20*C5</f>
        <v>18.9712</v>
      </c>
      <c r="H20" s="81">
        <f>G20 * (1 + C4)</f>
        <v>21.342600000000001</v>
      </c>
      <c r="I20" s="100">
        <f t="shared" si="1"/>
        <v>2134.2600000000002</v>
      </c>
    </row>
    <row r="21" spans="2:9" ht="16.5" thickTop="1" thickBot="1" x14ac:dyDescent="0.3">
      <c r="B21" s="84" t="s">
        <v>16</v>
      </c>
      <c r="C21" s="84">
        <f>SUM(C10:C20)</f>
        <v>4450</v>
      </c>
      <c r="D21" s="96">
        <f>SUM(D10:D20)</f>
        <v>26.490000000000002</v>
      </c>
      <c r="E21" s="84">
        <f>SUM(E10:E20)</f>
        <v>30</v>
      </c>
      <c r="F21" s="93">
        <f>SUM(F10:F20)</f>
        <v>5365</v>
      </c>
      <c r="G21" s="94">
        <f>SUM(G10:G20)</f>
        <v>88.476599999999991</v>
      </c>
      <c r="H21" s="92">
        <f>SUM(H10:H20)</f>
        <v>99.536175000000014</v>
      </c>
      <c r="I21" s="94">
        <f>SUM(I10:I20)</f>
        <v>17231.894999999997</v>
      </c>
    </row>
    <row r="22" spans="2:9" ht="15.75" thickTop="1" x14ac:dyDescent="0.25"/>
  </sheetData>
  <mergeCells count="5">
    <mergeCell ref="D8:F8"/>
    <mergeCell ref="G8:I8"/>
    <mergeCell ref="I2:L2"/>
    <mergeCell ref="J3:K3"/>
    <mergeCell ref="J4:K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Questão 1</vt:lpstr>
      <vt:lpstr>Questão 2</vt:lpstr>
      <vt:lpstr>Questão 3</vt:lpstr>
      <vt:lpstr>Questão 4</vt:lpstr>
      <vt:lpstr>Questão 5</vt:lpstr>
      <vt:lpstr>Questão 6</vt:lpstr>
      <vt:lpstr>Questão 7</vt:lpstr>
      <vt:lpstr>Questão 8</vt:lpstr>
      <vt:lpstr>Questão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2026-01-24T19:28:08Z</dcterms:modified>
</cp:coreProperties>
</file>