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ocuments\Felipe Maciel\"/>
    </mc:Choice>
  </mc:AlternateContent>
  <bookViews>
    <workbookView xWindow="0" yWindow="0" windowWidth="28800" windowHeight="12330" activeTab="2"/>
  </bookViews>
  <sheets>
    <sheet name="Exemplo" sheetId="1" r:id="rId1"/>
    <sheet name="Financeiro" sheetId="2" r:id="rId2"/>
    <sheet name="Média Escola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3" l="1"/>
  <c r="G13" i="3"/>
  <c r="G14" i="3"/>
  <c r="G11" i="3"/>
  <c r="F4" i="2" l="1"/>
  <c r="G12" i="2"/>
  <c r="G10" i="2"/>
  <c r="G9" i="2"/>
  <c r="G11" i="2"/>
  <c r="G8" i="2"/>
  <c r="E4" i="1"/>
  <c r="E3" i="1"/>
  <c r="E5" i="1"/>
  <c r="E6" i="1" l="1"/>
</calcChain>
</file>

<file path=xl/sharedStrings.xml><?xml version="1.0" encoding="utf-8"?>
<sst xmlns="http://schemas.openxmlformats.org/spreadsheetml/2006/main" count="43" uniqueCount="40">
  <si>
    <t>quantidade</t>
  </si>
  <si>
    <t>Total</t>
  </si>
  <si>
    <t>Arroz</t>
  </si>
  <si>
    <t>Valor unitário</t>
  </si>
  <si>
    <t>Feijão</t>
  </si>
  <si>
    <t>Item</t>
  </si>
  <si>
    <t>Macarrão</t>
  </si>
  <si>
    <t>Formatação de número</t>
  </si>
  <si>
    <t>Moeda</t>
  </si>
  <si>
    <t>Porcentagem</t>
  </si>
  <si>
    <t>Milhar</t>
  </si>
  <si>
    <t>Decimal</t>
  </si>
  <si>
    <t>Data</t>
  </si>
  <si>
    <t>Controle Financeiro</t>
  </si>
  <si>
    <t>Salário</t>
  </si>
  <si>
    <t>Contas</t>
  </si>
  <si>
    <t>Descrição</t>
  </si>
  <si>
    <t>Parcelas</t>
  </si>
  <si>
    <t>Valor</t>
  </si>
  <si>
    <t>Líquido</t>
  </si>
  <si>
    <t>Armário 4 portas</t>
  </si>
  <si>
    <t>Air-Fryer</t>
  </si>
  <si>
    <t>Luz</t>
  </si>
  <si>
    <t>Água</t>
  </si>
  <si>
    <t>Boletim Escolar</t>
  </si>
  <si>
    <t>Aluno</t>
  </si>
  <si>
    <t>Turma</t>
  </si>
  <si>
    <t>Curso</t>
  </si>
  <si>
    <t>Notas</t>
  </si>
  <si>
    <t>Nota 2</t>
  </si>
  <si>
    <t>Nota 1</t>
  </si>
  <si>
    <t>Atividade</t>
  </si>
  <si>
    <t>Média</t>
  </si>
  <si>
    <t>Operador de Computador</t>
  </si>
  <si>
    <t>Manutenção e Montagem</t>
  </si>
  <si>
    <t>Redes</t>
  </si>
  <si>
    <t>Projeto Integrador</t>
  </si>
  <si>
    <t>Unidade Curricular</t>
  </si>
  <si>
    <t>Engenharia de Hardware</t>
  </si>
  <si>
    <t>Turma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</si>
</sst>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4" borderId="1" xfId="0" applyFill="1" applyBorder="1"/>
    <xf numFmtId="0" fontId="0" fillId="7" borderId="1" xfId="0" applyFill="1" applyBorder="1"/>
    <xf numFmtId="0" fontId="0" fillId="0" borderId="0" xfId="0" applyBorder="1"/>
    <xf numFmtId="0" fontId="0" fillId="7" borderId="1" xfId="0" applyFill="1" applyBorder="1" applyAlignment="1">
      <alignment horizontal="left"/>
    </xf>
    <xf numFmtId="44" fontId="0" fillId="0" borderId="0" xfId="2" applyFont="1"/>
    <xf numFmtId="44" fontId="0" fillId="7" borderId="1" xfId="2" applyFont="1" applyFill="1" applyBorder="1"/>
    <xf numFmtId="9" fontId="0" fillId="7" borderId="1" xfId="3" applyFont="1" applyFill="1" applyBorder="1"/>
    <xf numFmtId="43" fontId="0" fillId="7" borderId="1" xfId="1" applyFont="1" applyFill="1" applyBorder="1"/>
    <xf numFmtId="2" fontId="0" fillId="7" borderId="1" xfId="0" applyNumberFormat="1" applyFill="1" applyBorder="1"/>
    <xf numFmtId="14" fontId="0" fillId="7" borderId="1" xfId="0" applyNumberFormat="1" applyFill="1" applyBorder="1"/>
    <xf numFmtId="0" fontId="0" fillId="6" borderId="1" xfId="0" applyFill="1" applyBorder="1"/>
    <xf numFmtId="0" fontId="0" fillId="8" borderId="1" xfId="0" applyFill="1" applyBorder="1"/>
    <xf numFmtId="0" fontId="0" fillId="5" borderId="1" xfId="0" applyFill="1" applyBorder="1"/>
    <xf numFmtId="44" fontId="0" fillId="5" borderId="1" xfId="2" applyFont="1" applyFill="1" applyBorder="1"/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5" xfId="0" applyFill="1" applyBorder="1"/>
    <xf numFmtId="0" fontId="0" fillId="6" borderId="6" xfId="0" applyFill="1" applyBorder="1"/>
    <xf numFmtId="0" fontId="0" fillId="5" borderId="2" xfId="0" applyFill="1" applyBorder="1"/>
    <xf numFmtId="0" fontId="0" fillId="8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applyFill="1" applyBorder="1" applyAlignment="1">
      <alignment horizontal="center"/>
    </xf>
    <xf numFmtId="44" fontId="0" fillId="5" borderId="1" xfId="2" applyFont="1" applyFill="1" applyBorder="1" applyAlignment="1">
      <alignment horizontal="center"/>
    </xf>
    <xf numFmtId="4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1"/>
  <sheetViews>
    <sheetView workbookViewId="0">
      <selection activeCell="F4" sqref="F4"/>
    </sheetView>
  </sheetViews>
  <sheetFormatPr defaultRowHeight="15" x14ac:dyDescent="0.25"/>
  <cols>
    <col min="3" max="3" width="10.85546875" customWidth="1"/>
    <col min="4" max="4" width="13.85546875" customWidth="1"/>
    <col min="7" max="7" width="21.28515625" style="7" customWidth="1"/>
    <col min="8" max="8" width="12.140625" bestFit="1" customWidth="1"/>
    <col min="20" max="33" width="4.5703125" customWidth="1"/>
  </cols>
  <sheetData>
    <row r="1" spans="1:9" x14ac:dyDescent="0.25">
      <c r="A1" s="1"/>
    </row>
    <row r="2" spans="1:9" x14ac:dyDescent="0.25">
      <c r="B2" s="5" t="s">
        <v>5</v>
      </c>
      <c r="C2" s="8" t="s">
        <v>0</v>
      </c>
      <c r="D2" s="8" t="s">
        <v>3</v>
      </c>
      <c r="E2" s="8" t="s">
        <v>1</v>
      </c>
      <c r="G2" s="5" t="s">
        <v>7</v>
      </c>
    </row>
    <row r="3" spans="1:9" x14ac:dyDescent="0.25">
      <c r="B3" s="5" t="s">
        <v>2</v>
      </c>
      <c r="C3" s="6">
        <v>10</v>
      </c>
      <c r="D3" s="6">
        <v>3.89</v>
      </c>
      <c r="E3" s="6">
        <f>10*3.89</f>
        <v>38.9</v>
      </c>
      <c r="G3" s="5" t="s">
        <v>8</v>
      </c>
      <c r="H3" s="10">
        <v>1518</v>
      </c>
      <c r="I3" s="9"/>
    </row>
    <row r="4" spans="1:9" x14ac:dyDescent="0.25">
      <c r="B4" s="5" t="s">
        <v>4</v>
      </c>
      <c r="C4" s="6">
        <v>10</v>
      </c>
      <c r="D4" s="6">
        <v>7.99</v>
      </c>
      <c r="E4" s="6">
        <f>10*7.99</f>
        <v>79.900000000000006</v>
      </c>
      <c r="G4" s="5" t="s">
        <v>9</v>
      </c>
      <c r="H4" s="11">
        <v>0.25</v>
      </c>
    </row>
    <row r="5" spans="1:9" x14ac:dyDescent="0.25">
      <c r="B5" s="5" t="s">
        <v>6</v>
      </c>
      <c r="C5" s="6">
        <v>5</v>
      </c>
      <c r="D5" s="6">
        <v>2.2000000000000002</v>
      </c>
      <c r="E5" s="6">
        <f>5*2.2</f>
        <v>11</v>
      </c>
      <c r="G5" s="5" t="s">
        <v>10</v>
      </c>
      <c r="H5" s="12">
        <v>10000</v>
      </c>
    </row>
    <row r="6" spans="1:9" x14ac:dyDescent="0.25">
      <c r="B6" s="5" t="s">
        <v>1</v>
      </c>
      <c r="C6" s="6"/>
      <c r="D6" s="6"/>
      <c r="E6" s="6">
        <f>E3+E4+E5</f>
        <v>129.80000000000001</v>
      </c>
      <c r="G6" s="5" t="s">
        <v>11</v>
      </c>
      <c r="H6" s="13">
        <v>3.1446586000000001</v>
      </c>
    </row>
    <row r="7" spans="1:9" x14ac:dyDescent="0.25">
      <c r="G7" s="5" t="s">
        <v>12</v>
      </c>
      <c r="H7" s="14">
        <v>45969</v>
      </c>
    </row>
    <row r="17" spans="20:34" x14ac:dyDescent="0.25">
      <c r="AC17" s="3"/>
      <c r="AD17" s="3"/>
      <c r="AE17" s="3"/>
      <c r="AF17" s="3"/>
    </row>
    <row r="18" spans="20:34" x14ac:dyDescent="0.25">
      <c r="AC18" s="2"/>
      <c r="AD18" s="2"/>
      <c r="AE18" s="2"/>
      <c r="AF18" s="2"/>
    </row>
    <row r="19" spans="20:34" x14ac:dyDescent="0.25">
      <c r="AF19" s="2"/>
    </row>
    <row r="20" spans="20:34" x14ac:dyDescent="0.25">
      <c r="AA20" s="2"/>
      <c r="AB20" s="2"/>
      <c r="AC20" s="2"/>
      <c r="AF20" s="2"/>
    </row>
    <row r="21" spans="20:34" x14ac:dyDescent="0.25">
      <c r="W21" s="3"/>
      <c r="X21" s="3"/>
      <c r="Y21" s="3"/>
      <c r="AC21" s="2"/>
      <c r="AF21" s="2"/>
    </row>
    <row r="22" spans="20:34" x14ac:dyDescent="0.25">
      <c r="Y22" s="3"/>
      <c r="AC22" s="2"/>
      <c r="AF22" s="2"/>
    </row>
    <row r="23" spans="20:34" x14ac:dyDescent="0.25">
      <c r="Y23" s="3"/>
      <c r="AC23" s="2"/>
      <c r="AF23" s="2"/>
    </row>
    <row r="24" spans="20:34" x14ac:dyDescent="0.25">
      <c r="Y24" s="3"/>
      <c r="AC24" s="2"/>
      <c r="AF24" s="2"/>
    </row>
    <row r="25" spans="20:34" x14ac:dyDescent="0.25">
      <c r="Y25" s="2"/>
      <c r="Z25" s="2"/>
      <c r="AA25" s="2"/>
      <c r="AB25" s="2"/>
      <c r="AC25" s="2"/>
      <c r="AD25" s="2"/>
      <c r="AE25" s="3"/>
      <c r="AF25" s="2"/>
    </row>
    <row r="26" spans="20:34" x14ac:dyDescent="0.25">
      <c r="U26" s="3"/>
      <c r="V26" s="3"/>
      <c r="W26" s="3"/>
      <c r="X26" s="3"/>
      <c r="Y26" s="2"/>
      <c r="Z26" s="2"/>
      <c r="AA26" s="2"/>
      <c r="AB26" s="2"/>
      <c r="AC26" s="2"/>
      <c r="AD26" s="2"/>
      <c r="AE26" s="2"/>
      <c r="AF26" s="2"/>
    </row>
    <row r="27" spans="20:34" x14ac:dyDescent="0.25">
      <c r="U27" s="3"/>
      <c r="V27" s="3"/>
      <c r="W27" s="3"/>
      <c r="X27" s="2"/>
      <c r="Y27" s="2"/>
      <c r="Z27" s="2"/>
      <c r="AA27" s="2"/>
      <c r="AB27" s="2"/>
      <c r="AC27" s="2"/>
      <c r="AD27" s="2"/>
      <c r="AE27" s="2"/>
      <c r="AF27" s="2"/>
      <c r="AG27" s="3"/>
    </row>
    <row r="28" spans="20:34" x14ac:dyDescent="0.25"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20:34" x14ac:dyDescent="0.25"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3"/>
    </row>
    <row r="30" spans="20:34" x14ac:dyDescent="0.25"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3"/>
    </row>
    <row r="31" spans="20:34" x14ac:dyDescent="0.25">
      <c r="T31" s="2"/>
      <c r="U31" s="2"/>
      <c r="V31" s="2"/>
      <c r="W31" s="2"/>
      <c r="Y31" s="2"/>
      <c r="Z31" s="2"/>
      <c r="AC31" s="2"/>
      <c r="AD31" s="2"/>
      <c r="AE31" s="2"/>
      <c r="AF31" s="2"/>
      <c r="AG31" s="2"/>
      <c r="AH31" s="3"/>
    </row>
    <row r="32" spans="20:34" x14ac:dyDescent="0.25">
      <c r="U32" s="4"/>
      <c r="V32" s="2"/>
      <c r="W32" s="2"/>
      <c r="Y32" s="2"/>
      <c r="AA32" s="2"/>
      <c r="AB32" s="2"/>
      <c r="AD32" s="2"/>
      <c r="AE32" s="2"/>
      <c r="AF32" s="2"/>
      <c r="AG32" s="2"/>
      <c r="AH32" s="3"/>
    </row>
    <row r="33" spans="21:34" x14ac:dyDescent="0.25">
      <c r="U33" s="4"/>
      <c r="V33" s="3"/>
      <c r="W33" s="3"/>
      <c r="AD33" s="2"/>
      <c r="AE33" s="2"/>
      <c r="AF33" s="2"/>
      <c r="AG33" s="2"/>
      <c r="AH33" s="3"/>
    </row>
    <row r="34" spans="21:34" x14ac:dyDescent="0.25">
      <c r="U34" s="4"/>
      <c r="V34" s="2"/>
      <c r="W34" s="2"/>
      <c r="AA34" s="2"/>
      <c r="AB34" s="2"/>
      <c r="AE34" s="2"/>
      <c r="AF34" s="2"/>
      <c r="AG34" s="2"/>
      <c r="AH34" s="3"/>
    </row>
    <row r="35" spans="21:34" x14ac:dyDescent="0.25">
      <c r="U35" s="2"/>
      <c r="V35" s="2"/>
      <c r="W35" s="2"/>
      <c r="X35" s="2"/>
      <c r="Z35" s="2"/>
      <c r="AA35" s="2"/>
      <c r="AB35" s="2"/>
      <c r="AC35" s="2"/>
      <c r="AE35" s="2"/>
      <c r="AF35" s="2"/>
      <c r="AG35" s="2"/>
    </row>
    <row r="36" spans="21:34" x14ac:dyDescent="0.25">
      <c r="U36" s="2"/>
      <c r="V36" s="2"/>
      <c r="W36" s="2"/>
      <c r="X36" s="2"/>
      <c r="Z36" s="2"/>
      <c r="AA36" s="2"/>
      <c r="AB36" s="2"/>
      <c r="AC36" s="2"/>
      <c r="AE36" s="2"/>
      <c r="AF36" s="2"/>
      <c r="AG36" s="2"/>
    </row>
    <row r="37" spans="21:34" x14ac:dyDescent="0.25"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21:34" x14ac:dyDescent="0.25">
      <c r="U38" s="2"/>
      <c r="V38" s="2"/>
      <c r="W38" s="2"/>
      <c r="X38" s="2"/>
      <c r="Z38" s="2"/>
      <c r="AA38" s="2"/>
      <c r="AB38" s="2"/>
      <c r="AC38" s="2"/>
      <c r="AE38" s="2"/>
      <c r="AF38" s="2"/>
      <c r="AG38" s="2"/>
    </row>
    <row r="39" spans="21:34" x14ac:dyDescent="0.25">
      <c r="U39" s="2"/>
      <c r="V39" s="2"/>
      <c r="W39" s="2"/>
      <c r="X39" s="2"/>
      <c r="Z39" s="2"/>
      <c r="AA39" s="2"/>
      <c r="AB39" s="2"/>
      <c r="AC39" s="2"/>
      <c r="AF39" s="2"/>
      <c r="AG39" s="2"/>
    </row>
    <row r="40" spans="21:34" x14ac:dyDescent="0.25">
      <c r="U40" s="2"/>
      <c r="V40" s="2"/>
      <c r="W40" s="2"/>
      <c r="X40" s="2"/>
      <c r="Z40" s="2"/>
      <c r="AA40" s="2"/>
      <c r="AB40" s="2"/>
      <c r="AC40" s="2"/>
      <c r="AG40" s="2"/>
    </row>
    <row r="41" spans="21:34" x14ac:dyDescent="0.25">
      <c r="U41" s="2"/>
      <c r="V41" s="2"/>
      <c r="W41" s="2"/>
      <c r="X41" s="2"/>
      <c r="Z41" s="2"/>
      <c r="AA41" s="2"/>
      <c r="AB41" s="2"/>
      <c r="AC41" s="2"/>
      <c r="AG41" s="2"/>
    </row>
    <row r="42" spans="21:34" x14ac:dyDescent="0.25">
      <c r="U42" s="2"/>
      <c r="V42" s="2"/>
      <c r="W42" s="2"/>
      <c r="X42" s="2"/>
      <c r="Z42" s="2"/>
      <c r="AA42" s="2"/>
      <c r="AB42" s="2"/>
      <c r="AC42" s="2"/>
      <c r="AG42" s="2"/>
      <c r="AH42" s="3"/>
    </row>
    <row r="43" spans="21:34" x14ac:dyDescent="0.25">
      <c r="U43" s="2"/>
      <c r="V43" s="2"/>
      <c r="W43" s="2"/>
      <c r="X43" s="2"/>
      <c r="Z43" s="2"/>
      <c r="AA43" s="2"/>
      <c r="AB43" s="2"/>
      <c r="AC43" s="2"/>
      <c r="AF43" s="3"/>
      <c r="AG43" s="2"/>
      <c r="AH43" s="3"/>
    </row>
    <row r="44" spans="21:34" x14ac:dyDescent="0.25">
      <c r="U44" s="4"/>
      <c r="V44" s="2"/>
      <c r="W44" s="2"/>
      <c r="AA44" s="2"/>
      <c r="AB44" s="2"/>
      <c r="AF44" s="3"/>
      <c r="AG44" s="4"/>
    </row>
    <row r="45" spans="21:34" x14ac:dyDescent="0.25">
      <c r="U45" s="4"/>
      <c r="AF45" s="3"/>
      <c r="AG45" s="4"/>
    </row>
    <row r="46" spans="21:34" x14ac:dyDescent="0.25">
      <c r="U46" s="4"/>
      <c r="AF46" s="3"/>
      <c r="AG46" s="4"/>
    </row>
    <row r="47" spans="21:34" x14ac:dyDescent="0.25">
      <c r="U47" s="4"/>
      <c r="X47" s="2"/>
      <c r="Y47" s="2"/>
      <c r="AF47" s="4"/>
      <c r="AG47" s="4"/>
    </row>
    <row r="48" spans="21:34" x14ac:dyDescent="0.25">
      <c r="V48" s="4"/>
      <c r="AF48" s="4"/>
    </row>
    <row r="49" spans="23:31" x14ac:dyDescent="0.25">
      <c r="W49" s="4"/>
      <c r="AE49" s="4"/>
    </row>
    <row r="50" spans="23:31" x14ac:dyDescent="0.25">
      <c r="X50" s="4"/>
      <c r="AE50" s="4"/>
    </row>
    <row r="51" spans="23:31" x14ac:dyDescent="0.25">
      <c r="Y51" s="4"/>
      <c r="Z51" s="4"/>
      <c r="AA51" s="4"/>
      <c r="AB51" s="4"/>
      <c r="AC51" s="4"/>
      <c r="AD5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>
      <selection activeCell="G12" sqref="G12"/>
    </sheetView>
  </sheetViews>
  <sheetFormatPr defaultRowHeight="15" x14ac:dyDescent="0.25"/>
  <cols>
    <col min="2" max="2" width="10" customWidth="1"/>
    <col min="6" max="6" width="10.5703125" bestFit="1" customWidth="1"/>
    <col min="7" max="7" width="12.140625" bestFit="1" customWidth="1"/>
  </cols>
  <sheetData>
    <row r="2" spans="2:7" x14ac:dyDescent="0.25">
      <c r="B2" s="28" t="s">
        <v>13</v>
      </c>
      <c r="C2" s="28"/>
      <c r="D2" s="28"/>
      <c r="E2" s="28"/>
      <c r="F2" s="28"/>
      <c r="G2" s="28"/>
    </row>
    <row r="3" spans="2:7" ht="3.75" customHeight="1" x14ac:dyDescent="0.25">
      <c r="B3" s="25"/>
      <c r="C3" s="26"/>
      <c r="D3" s="26"/>
      <c r="E3" s="26"/>
      <c r="F3" s="26"/>
      <c r="G3" s="27"/>
    </row>
    <row r="4" spans="2:7" x14ac:dyDescent="0.25">
      <c r="B4" s="15" t="s">
        <v>14</v>
      </c>
      <c r="C4" s="29">
        <v>1518</v>
      </c>
      <c r="D4" s="29"/>
      <c r="E4" s="15" t="s">
        <v>19</v>
      </c>
      <c r="F4" s="30">
        <f>C4-G12</f>
        <v>-159.88999999999987</v>
      </c>
      <c r="G4" s="31"/>
    </row>
    <row r="5" spans="2:7" ht="3.75" customHeight="1" x14ac:dyDescent="0.25">
      <c r="B5" s="32"/>
      <c r="C5" s="32"/>
      <c r="D5" s="32"/>
      <c r="E5" s="32"/>
      <c r="F5" s="32"/>
      <c r="G5" s="32"/>
    </row>
    <row r="6" spans="2:7" x14ac:dyDescent="0.25">
      <c r="B6" s="28" t="s">
        <v>15</v>
      </c>
      <c r="C6" s="28"/>
      <c r="D6" s="28"/>
      <c r="E6" s="28"/>
      <c r="F6" s="28"/>
      <c r="G6" s="28"/>
    </row>
    <row r="7" spans="2:7" x14ac:dyDescent="0.25">
      <c r="B7" s="24" t="s">
        <v>16</v>
      </c>
      <c r="C7" s="24"/>
      <c r="D7" s="24"/>
      <c r="E7" s="16" t="s">
        <v>17</v>
      </c>
      <c r="F7" s="16" t="s">
        <v>18</v>
      </c>
      <c r="G7" s="16" t="s">
        <v>1</v>
      </c>
    </row>
    <row r="8" spans="2:7" x14ac:dyDescent="0.25">
      <c r="B8" s="31" t="s">
        <v>20</v>
      </c>
      <c r="C8" s="31"/>
      <c r="D8" s="31"/>
      <c r="E8" s="17">
        <v>10</v>
      </c>
      <c r="F8" s="18">
        <v>89.9</v>
      </c>
      <c r="G8" s="18">
        <f>10*89.9</f>
        <v>899</v>
      </c>
    </row>
    <row r="9" spans="2:7" x14ac:dyDescent="0.25">
      <c r="B9" s="31" t="s">
        <v>21</v>
      </c>
      <c r="C9" s="31"/>
      <c r="D9" s="31"/>
      <c r="E9" s="17">
        <v>10</v>
      </c>
      <c r="F9" s="18">
        <v>48.8</v>
      </c>
      <c r="G9" s="18">
        <f>10*48.8</f>
        <v>488</v>
      </c>
    </row>
    <row r="10" spans="2:7" x14ac:dyDescent="0.25">
      <c r="B10" s="31" t="s">
        <v>22</v>
      </c>
      <c r="C10" s="31"/>
      <c r="D10" s="31"/>
      <c r="E10" s="17">
        <v>1</v>
      </c>
      <c r="F10" s="18">
        <v>245.89</v>
      </c>
      <c r="G10" s="18">
        <f>1*245.89</f>
        <v>245.89</v>
      </c>
    </row>
    <row r="11" spans="2:7" x14ac:dyDescent="0.25">
      <c r="B11" s="31" t="s">
        <v>23</v>
      </c>
      <c r="C11" s="31"/>
      <c r="D11" s="31"/>
      <c r="E11" s="17">
        <v>1</v>
      </c>
      <c r="F11" s="18">
        <v>45</v>
      </c>
      <c r="G11" s="18">
        <f>1*45</f>
        <v>45</v>
      </c>
    </row>
    <row r="12" spans="2:7" x14ac:dyDescent="0.25">
      <c r="B12" s="28" t="s">
        <v>1</v>
      </c>
      <c r="C12" s="28"/>
      <c r="D12" s="28"/>
      <c r="E12" s="28"/>
      <c r="F12" s="28"/>
      <c r="G12" s="18">
        <f>G8+G9+G10+G11</f>
        <v>1677.8899999999999</v>
      </c>
    </row>
  </sheetData>
  <mergeCells count="12">
    <mergeCell ref="B8:D8"/>
    <mergeCell ref="B9:D9"/>
    <mergeCell ref="B10:D10"/>
    <mergeCell ref="B11:D11"/>
    <mergeCell ref="B12:F12"/>
    <mergeCell ref="B7:D7"/>
    <mergeCell ref="B3:G3"/>
    <mergeCell ref="B2:G2"/>
    <mergeCell ref="C4:D4"/>
    <mergeCell ref="F4:G4"/>
    <mergeCell ref="B5:G5"/>
    <mergeCell ref="B6:G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tabSelected="1" workbookViewId="0">
      <selection activeCell="E12" sqref="E12"/>
    </sheetView>
  </sheetViews>
  <sheetFormatPr defaultRowHeight="15" x14ac:dyDescent="0.25"/>
  <cols>
    <col min="2" max="2" width="23.140625" customWidth="1"/>
    <col min="3" max="3" width="5.42578125" customWidth="1"/>
    <col min="6" max="6" width="9.7109375" customWidth="1"/>
  </cols>
  <sheetData>
    <row r="2" spans="2:7" x14ac:dyDescent="0.25">
      <c r="B2" s="36" t="s">
        <v>24</v>
      </c>
      <c r="C2" s="36"/>
      <c r="D2" s="36"/>
      <c r="E2" s="36"/>
      <c r="F2" s="36"/>
      <c r="G2" s="36"/>
    </row>
    <row r="3" spans="2:7" ht="3.75" customHeight="1" x14ac:dyDescent="0.25">
      <c r="B3" s="31"/>
      <c r="C3" s="31"/>
      <c r="D3" s="31"/>
      <c r="E3" s="31"/>
      <c r="F3" s="31"/>
      <c r="G3" s="31"/>
    </row>
    <row r="4" spans="2:7" x14ac:dyDescent="0.25">
      <c r="B4" s="15" t="s">
        <v>25</v>
      </c>
      <c r="C4" s="31"/>
      <c r="D4" s="31"/>
      <c r="E4" s="31"/>
      <c r="F4" s="31"/>
      <c r="G4" s="31"/>
    </row>
    <row r="5" spans="2:7" x14ac:dyDescent="0.25">
      <c r="B5" s="21" t="s">
        <v>26</v>
      </c>
      <c r="C5" s="31" t="s">
        <v>39</v>
      </c>
      <c r="D5" s="31"/>
      <c r="E5" s="31"/>
      <c r="F5" s="31"/>
      <c r="G5" s="31"/>
    </row>
    <row r="6" spans="2:7" ht="3.75" customHeight="1" x14ac:dyDescent="0.25">
      <c r="B6" s="23"/>
      <c r="C6" s="34"/>
      <c r="D6" s="31"/>
      <c r="E6" s="31"/>
      <c r="F6" s="31"/>
      <c r="G6" s="31"/>
    </row>
    <row r="7" spans="2:7" x14ac:dyDescent="0.25">
      <c r="B7" s="22" t="s">
        <v>27</v>
      </c>
      <c r="C7" s="31" t="s">
        <v>38</v>
      </c>
      <c r="D7" s="31"/>
      <c r="E7" s="31"/>
      <c r="F7" s="31"/>
      <c r="G7" s="31"/>
    </row>
    <row r="8" spans="2:7" ht="3.75" customHeight="1" x14ac:dyDescent="0.25">
      <c r="B8" s="31"/>
      <c r="C8" s="31"/>
      <c r="D8" s="31"/>
      <c r="E8" s="31"/>
      <c r="F8" s="31"/>
      <c r="G8" s="31"/>
    </row>
    <row r="9" spans="2:7" x14ac:dyDescent="0.25">
      <c r="B9" s="36" t="s">
        <v>28</v>
      </c>
      <c r="C9" s="36"/>
      <c r="D9" s="36"/>
      <c r="E9" s="36"/>
      <c r="F9" s="36"/>
      <c r="G9" s="36"/>
    </row>
    <row r="10" spans="2:7" x14ac:dyDescent="0.25">
      <c r="B10" s="35" t="s">
        <v>37</v>
      </c>
      <c r="C10" s="35"/>
      <c r="D10" s="20" t="s">
        <v>30</v>
      </c>
      <c r="E10" s="20" t="s">
        <v>29</v>
      </c>
      <c r="F10" s="20" t="s">
        <v>31</v>
      </c>
      <c r="G10" s="20" t="s">
        <v>32</v>
      </c>
    </row>
    <row r="11" spans="2:7" x14ac:dyDescent="0.25">
      <c r="B11" s="33" t="s">
        <v>33</v>
      </c>
      <c r="C11" s="33"/>
      <c r="D11" s="37">
        <v>10</v>
      </c>
      <c r="E11" s="37">
        <v>8</v>
      </c>
      <c r="F11" s="37">
        <v>1</v>
      </c>
      <c r="G11" s="19">
        <f>(D11+E11)/2+F11</f>
        <v>10</v>
      </c>
    </row>
    <row r="12" spans="2:7" x14ac:dyDescent="0.25">
      <c r="B12" s="33" t="s">
        <v>34</v>
      </c>
      <c r="C12" s="33"/>
      <c r="D12" s="37">
        <v>5</v>
      </c>
      <c r="E12" s="37">
        <v>4</v>
      </c>
      <c r="F12" s="37">
        <v>0.8</v>
      </c>
      <c r="G12" s="19">
        <f t="shared" ref="G12:G14" si="0">(D12+E12)/2+F12</f>
        <v>5.3</v>
      </c>
    </row>
    <row r="13" spans="2:7" x14ac:dyDescent="0.25">
      <c r="B13" s="33" t="s">
        <v>35</v>
      </c>
      <c r="C13" s="33"/>
      <c r="D13" s="19"/>
      <c r="E13" s="19"/>
      <c r="F13" s="19"/>
      <c r="G13" s="19">
        <f t="shared" si="0"/>
        <v>0</v>
      </c>
    </row>
    <row r="14" spans="2:7" x14ac:dyDescent="0.25">
      <c r="B14" s="33" t="s">
        <v>36</v>
      </c>
      <c r="C14" s="33"/>
      <c r="D14" s="19"/>
      <c r="E14" s="19"/>
      <c r="F14" s="19"/>
      <c r="G14" s="19">
        <f t="shared" si="0"/>
        <v>0</v>
      </c>
    </row>
  </sheetData>
  <mergeCells count="13">
    <mergeCell ref="B2:G2"/>
    <mergeCell ref="B3:G3"/>
    <mergeCell ref="C4:G4"/>
    <mergeCell ref="C5:G5"/>
    <mergeCell ref="C7:G7"/>
    <mergeCell ref="C6:G6"/>
    <mergeCell ref="B14:C14"/>
    <mergeCell ref="B8:G8"/>
    <mergeCell ref="B9:G9"/>
    <mergeCell ref="B10:C10"/>
    <mergeCell ref="B11:C11"/>
    <mergeCell ref="B12:C12"/>
    <mergeCell ref="B13:C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</vt:lpstr>
      <vt:lpstr>Financeiro</vt:lpstr>
      <vt:lpstr>Média Escolar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cp:lastPrinted>2025-11-08T19:01:01Z</cp:lastPrinted>
  <dcterms:created xsi:type="dcterms:W3CDTF">2025-11-08T16:45:50Z</dcterms:created>
  <dcterms:modified xsi:type="dcterms:W3CDTF">2025-11-22T17:06:56Z</dcterms:modified>
</cp:coreProperties>
</file>